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Özet" sheetId="1" state="visible" r:id="rId3"/>
    <sheet name="Firmalar" sheetId="2" state="visible" r:id="rId4"/>
    <sheet name="Ödeme Planı" sheetId="3" state="visible" r:id="rId5"/>
    <sheet name="Ödemeler" sheetId="4" state="visible" r:id="rId6"/>
  </sheets>
  <definedNames>
    <definedName function="false" hidden="true" localSheetId="3" name="_xlnm._FilterDatabase" vbProcedure="false">Ödemeler!$A$5:$N$305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5" authorId="0">
      <text>
        <r>
          <rPr>
            <sz val="10"/>
            <rFont val="Arial"/>
            <family val="2"/>
          </rPr>
          <t xml:space="preserve">İlk taksitin ödeneceği tarihi girin. Ödeme Planı sayfası bu tarihten itibaren 15 günde bir tarih üretir.</t>
        </r>
      </text>
    </comment>
  </commentList>
</comments>
</file>

<file path=xl/sharedStrings.xml><?xml version="1.0" encoding="utf-8"?>
<sst xmlns="http://schemas.openxmlformats.org/spreadsheetml/2006/main" count="85" uniqueCount="63">
  <si>
    <t xml:space="preserve">Makine Alımları – Elden Nakit Ödeme Takibi</t>
  </si>
  <si>
    <t xml:space="preserve">Firma</t>
  </si>
  <si>
    <t xml:space="preserve">Para Birimi</t>
  </si>
  <si>
    <t xml:space="preserve">Sözleşme Tutarı</t>
  </si>
  <si>
    <t xml:space="preserve">Ödenen Toplam</t>
  </si>
  <si>
    <t xml:space="preserve">Kalan</t>
  </si>
  <si>
    <t xml:space="preserve">Ödeme Oranı</t>
  </si>
  <si>
    <t xml:space="preserve">Ödeme Adedi</t>
  </si>
  <si>
    <t xml:space="preserve">Son Ödeme Tarihi</t>
  </si>
  <si>
    <t xml:space="preserve">Teslim Öncesi Hedef (%60)</t>
  </si>
  <si>
    <t xml:space="preserve">Bugüne Kadar Planlanan</t>
  </si>
  <si>
    <t xml:space="preserve">Plana Göre Fark (+ ileri / − geri)</t>
  </si>
  <si>
    <t xml:space="preserve">TL Karşılığı Toplam</t>
  </si>
  <si>
    <t xml:space="preserve">Belgesiz Ödeme Adedi</t>
  </si>
  <si>
    <t xml:space="preserve">Para birimine göre toplam</t>
  </si>
  <si>
    <t xml:space="preserve">USD</t>
  </si>
  <si>
    <t xml:space="preserve">EUR</t>
  </si>
  <si>
    <t xml:space="preserve">Genel TL toplamı</t>
  </si>
  <si>
    <t xml:space="preserve">Notlar:</t>
  </si>
  <si>
    <t xml:space="preserve">• Tutarlar KDV hariçtir; kaynak YK Onay Notu (15.10.2026). Sözleşme bilgileri 'Firmalar' sayfasından değiştirilebilir.</t>
  </si>
  <si>
    <t xml:space="preserve">• 'Bugüne Kadar Planlanan', Ödeme Planı'nda bugün veya öncesine düşen taksitlerin toplamıdır (ilk ödeme tarihi Firmalar sayfasına girilmelidir).</t>
  </si>
  <si>
    <t xml:space="preserve">• 'Belgesiz Ödeme Adedi': makbuz no boş veya 'Belge Alındı mı?' = Hayır olan ödemeler. Fatura öncesi ödemeler avans olarak kaydedilir; her ödeme için imzalı makbuz alınmalıdır.</t>
  </si>
  <si>
    <t xml:space="preserve">Firma ve Sözleşme Bilgileri</t>
  </si>
  <si>
    <t xml:space="preserve">Kaynak: Yeni Fabrika Makine Alımları – YK Onay Notu (15.10.2026). Sarı hücreler değiştirilebilir.</t>
  </si>
  <si>
    <t xml:space="preserve">Kapsam</t>
  </si>
  <si>
    <t xml:space="preserve">Sözleşme Tutarı (KDV hariç)</t>
  </si>
  <si>
    <t xml:space="preserve">Teslim Öncesi Oran</t>
  </si>
  <si>
    <t xml:space="preserve">Teslim Öncesi Tutar</t>
  </si>
  <si>
    <t xml:space="preserve">Taksit Tutarı (15 günde bir)</t>
  </si>
  <si>
    <t xml:space="preserve">Teslim Sonrası Taksit Sayısı (2/3)</t>
  </si>
  <si>
    <t xml:space="preserve">Ödeme Başlangıç Tarihi</t>
  </si>
  <si>
    <t xml:space="preserve">Özgün Mold</t>
  </si>
  <si>
    <t xml:space="preserve">Hidrolik presler ve kuyumcu makinaları (13 kalem)</t>
  </si>
  <si>
    <t xml:space="preserve">Teknik Plastik</t>
  </si>
  <si>
    <t xml:space="preserve">Arıtma kuleleri, kralsuyu tankları, reaktör (19 kalem)</t>
  </si>
  <si>
    <t xml:space="preserve">Nersetech</t>
  </si>
  <si>
    <t xml:space="preserve">Eritme ocakları (5) ve kilobar makinası (3)</t>
  </si>
  <si>
    <t xml:space="preserve">Para birimleri</t>
  </si>
  <si>
    <t xml:space="preserve">TL</t>
  </si>
  <si>
    <t xml:space="preserve">Teslim Öncesi Ödeme Planı (%60, 15 günde bir)</t>
  </si>
  <si>
    <t xml:space="preserve">Tarihler Firmalar sayfasındaki 'Ödeme Başlangıç Tarihi'nden üretilir. Teslim erken olursa kalan teslim öncesi tutar teslimde ödenir.</t>
  </si>
  <si>
    <t xml:space="preserve">Taksit No</t>
  </si>
  <si>
    <t xml:space="preserve">Planlanan Tarih</t>
  </si>
  <si>
    <t xml:space="preserve">Planlanan Tutar</t>
  </si>
  <si>
    <t xml:space="preserve">Kümülatif Plan</t>
  </si>
  <si>
    <t xml:space="preserve">Kümülatif Ödenen</t>
  </si>
  <si>
    <t xml:space="preserve">Durum</t>
  </si>
  <si>
    <t xml:space="preserve">Teslim sonrası</t>
  </si>
  <si>
    <t xml:space="preserve">Teslimden sonra</t>
  </si>
  <si>
    <t xml:space="preserve">Elden Nakit Ödeme Kayıtları</t>
  </si>
  <si>
    <t xml:space="preserve">Nasıl doldurulur: Her ödeme için bir satır açın. Sarı sütunları siz doldurun; Para Birimi ve TL Karşılığı otomatik hesaplanır.</t>
  </si>
  <si>
    <t xml:space="preserve">Örnek: 03.11.2026 | Özgün Mold | 20.000 | Elden nakit | 1 | Ahmet Yılmaz (Özgün Mold) | Ödeyen: … | Tahsilat makbuzu 0001 | Kur 36,50 | 1. taksit</t>
  </si>
  <si>
    <t xml:space="preserve">Sıra</t>
  </si>
  <si>
    <t xml:space="preserve">Ödeme Tarihi</t>
  </si>
  <si>
    <t xml:space="preserve">Tutar</t>
  </si>
  <si>
    <t xml:space="preserve">Ödeme Şekli</t>
  </si>
  <si>
    <t xml:space="preserve">Teslim Alan (Ad Soyad)</t>
  </si>
  <si>
    <t xml:space="preserve">Ödeyen (Ad Soyad)</t>
  </si>
  <si>
    <t xml:space="preserve">Makbuz / Belge No</t>
  </si>
  <si>
    <t xml:space="preserve">Belge Alındı mı?</t>
  </si>
  <si>
    <t xml:space="preserve">Kur (TL)</t>
  </si>
  <si>
    <t xml:space="preserve">TL Karşılığı</t>
  </si>
  <si>
    <t xml:space="preserve">Açıklama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</si>
</sst>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;\(#,##0.00\);\-"/>
    <numFmt numFmtId="166" formatCode="0.0%;\-0.0%;\-"/>
    <numFmt numFmtId="167" formatCode="General"/>
    <numFmt numFmtId="168" formatCode="dd\.mm\.yyyy"/>
    <numFmt numFmtId="169" formatCode="0%"/>
    <numFmt numFmtId="170" formatCode="#,##0.0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A68854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4"/>
      <color rgb="FFA6885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A68854"/>
        <bgColor rgb="FF7F7F7F"/>
      </patternFill>
    </fill>
    <fill>
      <patternFill patternType="solid">
        <fgColor rgb="FFF6F1E7"/>
        <bgColor rgb="FFFFF2CC"/>
      </patternFill>
    </fill>
    <fill>
      <patternFill patternType="solid">
        <fgColor rgb="FFFFF2CC"/>
        <bgColor rgb="FFF6F1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C00000"/>
      </font>
    </dxf>
    <dxf>
      <fill>
        <patternFill>
          <bgColor rgb="FFF4CCCC"/>
        </patternFill>
      </fill>
    </dxf>
    <dxf>
      <font>
        <name val="Arial"/>
        <charset val="1"/>
        <family val="0"/>
        <b val="1"/>
        <color rgb="FF008000"/>
      </font>
    </dxf>
    <dxf>
      <fill>
        <patternFill patternType="solid">
          <fgColor rgb="FFA6885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4CC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6F1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A68854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5" min="3" style="0" width="16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17"/>
    <col collapsed="false" customWidth="true" hidden="false" outlineLevel="0" max="11" min="11" style="0" width="19"/>
    <col collapsed="false" customWidth="true" hidden="false" outlineLevel="0" max="12" min="12" style="0" width="17"/>
    <col collapsed="false" customWidth="true" hidden="false" outlineLevel="0" max="13" min="13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tr">
        <f aca="true">"Rapor tarihi: "&amp;TEXT(TODAY(),"DD.MM.YYYY")</f>
        <v>Rapor tarihi: 26.10.2026</v>
      </c>
    </row>
    <row r="4" customFormat="false" ht="43.5" hidden="false" customHeight="true" outlineLevel="0" collapsed="false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</row>
    <row r="5" customFormat="false" ht="15" hidden="false" customHeight="false" outlineLevel="0" collapsed="false">
      <c r="A5" s="4" t="str">
        <f aca="false">Firmalar!A5</f>
        <v>Özgün Mold</v>
      </c>
      <c r="B5" s="5" t="str">
        <f aca="false">Firmalar!C5</f>
        <v>USD</v>
      </c>
      <c r="C5" s="6" t="n">
        <f aca="false">Firmalar!D5</f>
        <v>430000</v>
      </c>
      <c r="D5" s="7" t="n">
        <f aca="false">SUMIFS(Ödemeler!$E$6:$E$305,Ödemeler!$C$6:$C$305,A5)</f>
        <v>0</v>
      </c>
      <c r="E5" s="7" t="n">
        <f aca="false">C5-D5</f>
        <v>430000</v>
      </c>
      <c r="F5" s="8" t="n">
        <f aca="false">IF(C5=0,0,D5/C5)</f>
        <v>0</v>
      </c>
      <c r="G5" s="9" t="n">
        <f aca="false">COUNTIFS(Ödemeler!$C$6:$C$305,A5,Ödemeler!$E$6:$E$305,"&lt;&gt;")</f>
        <v>0</v>
      </c>
      <c r="H5" s="10" t="str">
        <f aca="false">IF(G5=0,"-",_xlfn.MAXIFS(Ödemeler!$B$6:$B$305,Ödemeler!$C$6:$C$305,A5))</f>
        <v>-</v>
      </c>
      <c r="I5" s="6" t="n">
        <f aca="false">Firmalar!F5</f>
        <v>258000</v>
      </c>
      <c r="J5" s="7" t="n">
        <f aca="true">SUMIFS('Ödeme Planı'!$D$6:$D$60,'Ödeme Planı'!$A$6:$A$60,A5,'Ödeme Planı'!$C$6:$C$60,"&lt;="&amp;TODAY())</f>
        <v>0</v>
      </c>
      <c r="K5" s="7" t="n">
        <f aca="false">D5-J5</f>
        <v>0</v>
      </c>
      <c r="L5" s="7" t="n">
        <f aca="false">SUMIFS(Ödemeler!$M$6:$M$305,Ödemeler!$C$6:$C$305,A5)</f>
        <v>0</v>
      </c>
      <c r="M5" s="9" t="n">
        <f aca="false">COUNTIFS(Ödemeler!$C$6:$C$305,A5,Ödemeler!$K$6:$K$305,"Hayır")+COUNTIFS(Ödemeler!$C$6:$C$305,A5,Ödemeler!$J$6:$J$305,"")</f>
        <v>0</v>
      </c>
    </row>
    <row r="6" customFormat="false" ht="15" hidden="false" customHeight="false" outlineLevel="0" collapsed="false">
      <c r="A6" s="4" t="str">
        <f aca="false">Firmalar!A6</f>
        <v>Teknik Plastik</v>
      </c>
      <c r="B6" s="5" t="str">
        <f aca="false">Firmalar!C6</f>
        <v>EUR</v>
      </c>
      <c r="C6" s="6" t="n">
        <f aca="false">Firmalar!D6</f>
        <v>275000</v>
      </c>
      <c r="D6" s="7" t="n">
        <f aca="false">SUMIFS(Ödemeler!$E$6:$E$305,Ödemeler!$C$6:$C$305,A6)</f>
        <v>0</v>
      </c>
      <c r="E6" s="7" t="n">
        <f aca="false">C6-D6</f>
        <v>275000</v>
      </c>
      <c r="F6" s="8" t="n">
        <f aca="false">IF(C6=0,0,D6/C6)</f>
        <v>0</v>
      </c>
      <c r="G6" s="9" t="n">
        <f aca="false">COUNTIFS(Ödemeler!$C$6:$C$305,A6,Ödemeler!$E$6:$E$305,"&lt;&gt;")</f>
        <v>0</v>
      </c>
      <c r="H6" s="10" t="str">
        <f aca="false">IF(G6=0,"-",_xlfn.MAXIFS(Ödemeler!$B$6:$B$305,Ödemeler!$C$6:$C$305,A6))</f>
        <v>-</v>
      </c>
      <c r="I6" s="6" t="n">
        <f aca="false">Firmalar!F6</f>
        <v>165000</v>
      </c>
      <c r="J6" s="7" t="n">
        <f aca="true">SUMIFS('Ödeme Planı'!$D$6:$D$60,'Ödeme Planı'!$A$6:$A$60,A6,'Ödeme Planı'!$C$6:$C$60,"&lt;="&amp;TODAY())</f>
        <v>0</v>
      </c>
      <c r="K6" s="7" t="n">
        <f aca="false">D6-J6</f>
        <v>0</v>
      </c>
      <c r="L6" s="7" t="n">
        <f aca="false">SUMIFS(Ödemeler!$M$6:$M$305,Ödemeler!$C$6:$C$305,A6)</f>
        <v>0</v>
      </c>
      <c r="M6" s="9" t="n">
        <f aca="false">COUNTIFS(Ödemeler!$C$6:$C$305,A6,Ödemeler!$K$6:$K$305,"Hayır")+COUNTIFS(Ödemeler!$C$6:$C$305,A6,Ödemeler!$J$6:$J$305,"")</f>
        <v>0</v>
      </c>
    </row>
    <row r="7" customFormat="false" ht="15" hidden="false" customHeight="false" outlineLevel="0" collapsed="false">
      <c r="A7" s="4" t="str">
        <f aca="false">Firmalar!A7</f>
        <v>Nersetech</v>
      </c>
      <c r="B7" s="5" t="str">
        <f aca="false">Firmalar!C7</f>
        <v>EUR</v>
      </c>
      <c r="C7" s="6" t="n">
        <f aca="false">Firmalar!D7</f>
        <v>257500</v>
      </c>
      <c r="D7" s="7" t="n">
        <f aca="false">SUMIFS(Ödemeler!$E$6:$E$305,Ödemeler!$C$6:$C$305,A7)</f>
        <v>0</v>
      </c>
      <c r="E7" s="7" t="n">
        <f aca="false">C7-D7</f>
        <v>257500</v>
      </c>
      <c r="F7" s="8" t="n">
        <f aca="false">IF(C7=0,0,D7/C7)</f>
        <v>0</v>
      </c>
      <c r="G7" s="9" t="n">
        <f aca="false">COUNTIFS(Ödemeler!$C$6:$C$305,A7,Ödemeler!$E$6:$E$305,"&lt;&gt;")</f>
        <v>0</v>
      </c>
      <c r="H7" s="10" t="str">
        <f aca="false">IF(G7=0,"-",_xlfn.MAXIFS(Ödemeler!$B$6:$B$305,Ödemeler!$C$6:$C$305,A7))</f>
        <v>-</v>
      </c>
      <c r="I7" s="6" t="n">
        <f aca="false">Firmalar!F7</f>
        <v>154500</v>
      </c>
      <c r="J7" s="7" t="n">
        <f aca="true">SUMIFS('Ödeme Planı'!$D$6:$D$60,'Ödeme Planı'!$A$6:$A$60,A7,'Ödeme Planı'!$C$6:$C$60,"&lt;="&amp;TODAY())</f>
        <v>0</v>
      </c>
      <c r="K7" s="7" t="n">
        <f aca="false">D7-J7</f>
        <v>0</v>
      </c>
      <c r="L7" s="7" t="n">
        <f aca="false">SUMIFS(Ödemeler!$M$6:$M$305,Ödemeler!$C$6:$C$305,A7)</f>
        <v>0</v>
      </c>
      <c r="M7" s="9" t="n">
        <f aca="false">COUNTIFS(Ödemeler!$C$6:$C$305,A7,Ödemeler!$K$6:$K$305,"Hayır")+COUNTIFS(Ödemeler!$C$6:$C$305,A7,Ödemeler!$J$6:$J$305,"")</f>
        <v>0</v>
      </c>
    </row>
    <row r="9" customFormat="false" ht="15" hidden="false" customHeight="false" outlineLevel="0" collapsed="false">
      <c r="A9" s="11" t="s">
        <v>14</v>
      </c>
    </row>
    <row r="10" customFormat="false" ht="30" hidden="false" customHeight="true" outlineLevel="0" collapsed="false">
      <c r="A10" s="3" t="s">
        <v>2</v>
      </c>
      <c r="B10" s="3"/>
      <c r="C10" s="3" t="s">
        <v>3</v>
      </c>
      <c r="D10" s="3" t="s">
        <v>4</v>
      </c>
      <c r="E10" s="3" t="s">
        <v>5</v>
      </c>
      <c r="F10" s="3" t="s">
        <v>6</v>
      </c>
      <c r="G10" s="3"/>
      <c r="H10" s="3"/>
      <c r="I10" s="3"/>
      <c r="J10" s="3"/>
      <c r="K10" s="3"/>
      <c r="L10" s="3" t="s">
        <v>12</v>
      </c>
      <c r="M10" s="3"/>
    </row>
    <row r="11" customFormat="false" ht="15" hidden="false" customHeight="false" outlineLevel="0" collapsed="false">
      <c r="A11" s="12" t="s">
        <v>15</v>
      </c>
      <c r="C11" s="13" t="n">
        <f aca="false">SUMIFS($C$5:$C$7,$B$5:$B$7,A11)</f>
        <v>430000</v>
      </c>
      <c r="D11" s="13" t="n">
        <f aca="false">SUMIFS($D$5:$D$7,$B$5:$B$7,A11)</f>
        <v>0</v>
      </c>
      <c r="E11" s="13" t="n">
        <f aca="false">C11-D11</f>
        <v>430000</v>
      </c>
      <c r="F11" s="14" t="n">
        <f aca="false">IF(C11=0,0,D11/C11)</f>
        <v>0</v>
      </c>
      <c r="L11" s="13" t="n">
        <f aca="false">SUMIFS($L$5:$L$7,$B$5:$B$7,A11)</f>
        <v>0</v>
      </c>
    </row>
    <row r="12" customFormat="false" ht="15" hidden="false" customHeight="false" outlineLevel="0" collapsed="false">
      <c r="A12" s="12" t="s">
        <v>16</v>
      </c>
      <c r="C12" s="13" t="n">
        <f aca="false">SUMIFS($C$5:$C$7,$B$5:$B$7,A12)</f>
        <v>532500</v>
      </c>
      <c r="D12" s="13" t="n">
        <f aca="false">SUMIFS($D$5:$D$7,$B$5:$B$7,A12)</f>
        <v>0</v>
      </c>
      <c r="E12" s="13" t="n">
        <f aca="false">C12-D12</f>
        <v>532500</v>
      </c>
      <c r="F12" s="14" t="n">
        <f aca="false">IF(C12=0,0,D12/C12)</f>
        <v>0</v>
      </c>
      <c r="L12" s="13" t="n">
        <f aca="false">SUMIFS($L$5:$L$7,$B$5:$B$7,A12)</f>
        <v>0</v>
      </c>
    </row>
    <row r="13" customFormat="false" ht="15" hidden="false" customHeight="false" outlineLevel="0" collapsed="false">
      <c r="A13" s="11" t="s">
        <v>17</v>
      </c>
      <c r="L13" s="13" t="n">
        <f aca="false">SUM(L5:L7)</f>
        <v>0</v>
      </c>
    </row>
    <row r="15" customFormat="false" ht="15" hidden="false" customHeight="false" outlineLevel="0" collapsed="false">
      <c r="A15" s="15" t="s">
        <v>18</v>
      </c>
    </row>
    <row r="16" customFormat="false" ht="15" hidden="false" customHeight="false" outlineLevel="0" collapsed="false">
      <c r="A16" s="16" t="s">
        <v>19</v>
      </c>
    </row>
    <row r="17" customFormat="false" ht="15" hidden="false" customHeight="false" outlineLevel="0" collapsed="false">
      <c r="A17" s="16" t="s">
        <v>20</v>
      </c>
    </row>
    <row r="18" customFormat="false" ht="15" hidden="false" customHeight="false" outlineLevel="0" collapsed="false">
      <c r="A18" s="16" t="s">
        <v>21</v>
      </c>
    </row>
  </sheetData>
  <conditionalFormatting sqref="K5:K7">
    <cfRule type="cellIs" priority="2" operator="lessThan" aboveAverage="0" equalAverage="0" bottom="0" percent="0" rank="0" text="" dxfId="0">
      <formula>0</formula>
    </cfRule>
  </conditionalFormatting>
  <conditionalFormatting sqref="M5:M7"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8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9" min="6" style="0" width="16"/>
  </cols>
  <sheetData>
    <row r="1" customFormat="false" ht="17.35" hidden="false" customHeight="false" outlineLevel="0" collapsed="false">
      <c r="A1" s="17" t="s">
        <v>22</v>
      </c>
    </row>
    <row r="2" customFormat="false" ht="15" hidden="false" customHeight="false" outlineLevel="0" collapsed="false">
      <c r="A2" s="2" t="s">
        <v>23</v>
      </c>
    </row>
    <row r="4" customFormat="false" ht="42" hidden="false" customHeight="true" outlineLevel="0" collapsed="false">
      <c r="A4" s="3" t="s">
        <v>1</v>
      </c>
      <c r="B4" s="3" t="s">
        <v>24</v>
      </c>
      <c r="C4" s="3" t="s">
        <v>2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</row>
    <row r="5" customFormat="false" ht="15" hidden="false" customHeight="false" outlineLevel="0" collapsed="false">
      <c r="A5" s="18" t="s">
        <v>31</v>
      </c>
      <c r="B5" s="18" t="s">
        <v>32</v>
      </c>
      <c r="C5" s="18" t="s">
        <v>15</v>
      </c>
      <c r="D5" s="19" t="n">
        <v>430000</v>
      </c>
      <c r="E5" s="20" t="n">
        <v>0.6</v>
      </c>
      <c r="F5" s="21" t="n">
        <f aca="false">D5*E5</f>
        <v>258000</v>
      </c>
      <c r="G5" s="19" t="n">
        <v>20000</v>
      </c>
      <c r="H5" s="22" t="n">
        <v>2</v>
      </c>
      <c r="I5" s="23"/>
    </row>
    <row r="6" customFormat="false" ht="15" hidden="false" customHeight="false" outlineLevel="0" collapsed="false">
      <c r="A6" s="18" t="s">
        <v>33</v>
      </c>
      <c r="B6" s="18" t="s">
        <v>34</v>
      </c>
      <c r="C6" s="18" t="s">
        <v>16</v>
      </c>
      <c r="D6" s="19" t="n">
        <v>275000</v>
      </c>
      <c r="E6" s="20" t="n">
        <v>0.6</v>
      </c>
      <c r="F6" s="21" t="n">
        <f aca="false">D6*E6</f>
        <v>165000</v>
      </c>
      <c r="G6" s="19" t="n">
        <v>15000</v>
      </c>
      <c r="H6" s="22" t="n">
        <v>2</v>
      </c>
      <c r="I6" s="23"/>
    </row>
    <row r="7" customFormat="false" ht="15" hidden="false" customHeight="false" outlineLevel="0" collapsed="false">
      <c r="A7" s="18" t="s">
        <v>35</v>
      </c>
      <c r="B7" s="18" t="s">
        <v>36</v>
      </c>
      <c r="C7" s="18" t="s">
        <v>16</v>
      </c>
      <c r="D7" s="19" t="n">
        <v>257500</v>
      </c>
      <c r="E7" s="20" t="n">
        <v>0.6</v>
      </c>
      <c r="F7" s="21" t="n">
        <f aca="false">D7*E7</f>
        <v>154500</v>
      </c>
      <c r="G7" s="19" t="n">
        <v>15450</v>
      </c>
      <c r="H7" s="22" t="n">
        <v>2</v>
      </c>
      <c r="I7" s="23"/>
    </row>
    <row r="9" customFormat="false" ht="15" hidden="false" customHeight="false" outlineLevel="0" collapsed="false">
      <c r="A9" s="11" t="s">
        <v>37</v>
      </c>
    </row>
    <row r="10" customFormat="false" ht="15" hidden="false" customHeight="false" outlineLevel="0" collapsed="false">
      <c r="A10" s="24" t="s">
        <v>15</v>
      </c>
    </row>
    <row r="11" customFormat="false" ht="15" hidden="false" customHeight="false" outlineLevel="0" collapsed="false">
      <c r="A11" s="24" t="s">
        <v>16</v>
      </c>
    </row>
    <row r="12" customFormat="false" ht="15" hidden="false" customHeight="false" outlineLevel="0" collapsed="false">
      <c r="A12" s="24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4" min="3" style="0" width="15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32"/>
  </cols>
  <sheetData>
    <row r="1" customFormat="false" ht="17.35" hidden="false" customHeight="false" outlineLevel="0" collapsed="false">
      <c r="A1" s="17" t="s">
        <v>39</v>
      </c>
    </row>
    <row r="2" customFormat="false" ht="15" hidden="false" customHeight="false" outlineLevel="0" collapsed="false">
      <c r="A2" s="2" t="s">
        <v>40</v>
      </c>
    </row>
    <row r="5" customFormat="false" ht="23.85" hidden="false" customHeight="false" outlineLevel="0" collapsed="false">
      <c r="A5" s="3" t="s">
        <v>1</v>
      </c>
      <c r="B5" s="3" t="s">
        <v>41</v>
      </c>
      <c r="C5" s="3" t="s">
        <v>42</v>
      </c>
      <c r="D5" s="3" t="s">
        <v>43</v>
      </c>
      <c r="E5" s="3" t="s">
        <v>2</v>
      </c>
      <c r="F5" s="3" t="s">
        <v>44</v>
      </c>
      <c r="G5" s="3" t="s">
        <v>45</v>
      </c>
      <c r="H5" s="3" t="s">
        <v>46</v>
      </c>
    </row>
    <row r="6" customFormat="false" ht="15" hidden="false" customHeight="false" outlineLevel="0" collapsed="false">
      <c r="A6" s="18" t="str">
        <f aca="false">Firmalar!$A$5</f>
        <v>Özgün Mold</v>
      </c>
      <c r="B6" s="25" t="n">
        <v>1</v>
      </c>
      <c r="C6" s="26" t="str">
        <f aca="false">IF(Firmalar!$I$5="","",Firmalar!$I$5+15*(B6-1))</f>
        <v/>
      </c>
      <c r="D6" s="21" t="n">
        <f aca="false">MIN(Firmalar!$G$5,Firmalar!$F$5-Firmalar!$G$5*(B6-1))</f>
        <v>20000</v>
      </c>
      <c r="E6" s="25" t="str">
        <f aca="false">Firmalar!$C$5</f>
        <v>USD</v>
      </c>
      <c r="F6" s="21" t="n">
        <f aca="false">SUMIFS($D$6:D6,$A$6:A6,A6)</f>
        <v>20000</v>
      </c>
      <c r="G6" s="21" t="n">
        <f aca="false">SUMIFS(Ödemeler!$E$6:$E$305,Ödemeler!$C$6:$C$305,A6)</f>
        <v>0</v>
      </c>
      <c r="H6" s="25" t="str">
        <f aca="true">IF(G6&gt;=F6,"Ödendi",IF(C6="","Tarih yok",IF(C6&lt;TODAY(),"GECİKTİ","Bekliyor")))</f>
        <v>Tarih yok</v>
      </c>
    </row>
    <row r="7" customFormat="false" ht="15" hidden="false" customHeight="false" outlineLevel="0" collapsed="false">
      <c r="A7" s="18" t="str">
        <f aca="false">Firmalar!$A$5</f>
        <v>Özgün Mold</v>
      </c>
      <c r="B7" s="25" t="n">
        <v>2</v>
      </c>
      <c r="C7" s="26" t="str">
        <f aca="false">IF(Firmalar!$I$5="","",Firmalar!$I$5+15*(B7-1))</f>
        <v/>
      </c>
      <c r="D7" s="21" t="n">
        <f aca="false">MIN(Firmalar!$G$5,Firmalar!$F$5-Firmalar!$G$5*(B7-1))</f>
        <v>20000</v>
      </c>
      <c r="E7" s="25" t="str">
        <f aca="false">Firmalar!$C$5</f>
        <v>USD</v>
      </c>
      <c r="F7" s="21" t="n">
        <f aca="false">SUMIFS($D$6:D7,$A$6:A7,A7)</f>
        <v>40000</v>
      </c>
      <c r="G7" s="21" t="n">
        <f aca="false">SUMIFS(Ödemeler!$E$6:$E$305,Ödemeler!$C$6:$C$305,A7)</f>
        <v>0</v>
      </c>
      <c r="H7" s="25" t="str">
        <f aca="true">IF(G7&gt;=F7,"Ödendi",IF(C7="","Tarih yok",IF(C7&lt;TODAY(),"GECİKTİ","Bekliyor")))</f>
        <v>Tarih yok</v>
      </c>
    </row>
    <row r="8" customFormat="false" ht="15" hidden="false" customHeight="false" outlineLevel="0" collapsed="false">
      <c r="A8" s="18" t="str">
        <f aca="false">Firmalar!$A$5</f>
        <v>Özgün Mold</v>
      </c>
      <c r="B8" s="25" t="n">
        <v>3</v>
      </c>
      <c r="C8" s="26" t="str">
        <f aca="false">IF(Firmalar!$I$5="","",Firmalar!$I$5+15*(B8-1))</f>
        <v/>
      </c>
      <c r="D8" s="21" t="n">
        <f aca="false">MIN(Firmalar!$G$5,Firmalar!$F$5-Firmalar!$G$5*(B8-1))</f>
        <v>20000</v>
      </c>
      <c r="E8" s="25" t="str">
        <f aca="false">Firmalar!$C$5</f>
        <v>USD</v>
      </c>
      <c r="F8" s="21" t="n">
        <f aca="false">SUMIFS($D$6:D8,$A$6:A8,A8)</f>
        <v>60000</v>
      </c>
      <c r="G8" s="21" t="n">
        <f aca="false">SUMIFS(Ödemeler!$E$6:$E$305,Ödemeler!$C$6:$C$305,A8)</f>
        <v>0</v>
      </c>
      <c r="H8" s="25" t="str">
        <f aca="true">IF(G8&gt;=F8,"Ödendi",IF(C8="","Tarih yok",IF(C8&lt;TODAY(),"GECİKTİ","Bekliyor")))</f>
        <v>Tarih yok</v>
      </c>
    </row>
    <row r="9" customFormat="false" ht="15" hidden="false" customHeight="false" outlineLevel="0" collapsed="false">
      <c r="A9" s="18" t="str">
        <f aca="false">Firmalar!$A$5</f>
        <v>Özgün Mold</v>
      </c>
      <c r="B9" s="25" t="n">
        <v>4</v>
      </c>
      <c r="C9" s="26" t="str">
        <f aca="false">IF(Firmalar!$I$5="","",Firmalar!$I$5+15*(B9-1))</f>
        <v/>
      </c>
      <c r="D9" s="21" t="n">
        <f aca="false">MIN(Firmalar!$G$5,Firmalar!$F$5-Firmalar!$G$5*(B9-1))</f>
        <v>20000</v>
      </c>
      <c r="E9" s="25" t="str">
        <f aca="false">Firmalar!$C$5</f>
        <v>USD</v>
      </c>
      <c r="F9" s="21" t="n">
        <f aca="false">SUMIFS($D$6:D9,$A$6:A9,A9)</f>
        <v>80000</v>
      </c>
      <c r="G9" s="21" t="n">
        <f aca="false">SUMIFS(Ödemeler!$E$6:$E$305,Ödemeler!$C$6:$C$305,A9)</f>
        <v>0</v>
      </c>
      <c r="H9" s="25" t="str">
        <f aca="true">IF(G9&gt;=F9,"Ödendi",IF(C9="","Tarih yok",IF(C9&lt;TODAY(),"GECİKTİ","Bekliyor")))</f>
        <v>Tarih yok</v>
      </c>
    </row>
    <row r="10" customFormat="false" ht="15" hidden="false" customHeight="false" outlineLevel="0" collapsed="false">
      <c r="A10" s="18" t="str">
        <f aca="false">Firmalar!$A$5</f>
        <v>Özgün Mold</v>
      </c>
      <c r="B10" s="25" t="n">
        <v>5</v>
      </c>
      <c r="C10" s="26" t="str">
        <f aca="false">IF(Firmalar!$I$5="","",Firmalar!$I$5+15*(B10-1))</f>
        <v/>
      </c>
      <c r="D10" s="21" t="n">
        <f aca="false">MIN(Firmalar!$G$5,Firmalar!$F$5-Firmalar!$G$5*(B10-1))</f>
        <v>20000</v>
      </c>
      <c r="E10" s="25" t="str">
        <f aca="false">Firmalar!$C$5</f>
        <v>USD</v>
      </c>
      <c r="F10" s="21" t="n">
        <f aca="false">SUMIFS($D$6:D10,$A$6:A10,A10)</f>
        <v>100000</v>
      </c>
      <c r="G10" s="21" t="n">
        <f aca="false">SUMIFS(Ödemeler!$E$6:$E$305,Ödemeler!$C$6:$C$305,A10)</f>
        <v>0</v>
      </c>
      <c r="H10" s="25" t="str">
        <f aca="true">IF(G10&gt;=F10,"Ödendi",IF(C10="","Tarih yok",IF(C10&lt;TODAY(),"GECİKTİ","Bekliyor")))</f>
        <v>Tarih yok</v>
      </c>
    </row>
    <row r="11" customFormat="false" ht="15" hidden="false" customHeight="false" outlineLevel="0" collapsed="false">
      <c r="A11" s="18" t="str">
        <f aca="false">Firmalar!$A$5</f>
        <v>Özgün Mold</v>
      </c>
      <c r="B11" s="25" t="n">
        <v>6</v>
      </c>
      <c r="C11" s="26" t="str">
        <f aca="false">IF(Firmalar!$I$5="","",Firmalar!$I$5+15*(B11-1))</f>
        <v/>
      </c>
      <c r="D11" s="21" t="n">
        <f aca="false">MIN(Firmalar!$G$5,Firmalar!$F$5-Firmalar!$G$5*(B11-1))</f>
        <v>20000</v>
      </c>
      <c r="E11" s="25" t="str">
        <f aca="false">Firmalar!$C$5</f>
        <v>USD</v>
      </c>
      <c r="F11" s="21" t="n">
        <f aca="false">SUMIFS($D$6:D11,$A$6:A11,A11)</f>
        <v>120000</v>
      </c>
      <c r="G11" s="21" t="n">
        <f aca="false">SUMIFS(Ödemeler!$E$6:$E$305,Ödemeler!$C$6:$C$305,A11)</f>
        <v>0</v>
      </c>
      <c r="H11" s="25" t="str">
        <f aca="true">IF(G11&gt;=F11,"Ödendi",IF(C11="","Tarih yok",IF(C11&lt;TODAY(),"GECİKTİ","Bekliyor")))</f>
        <v>Tarih yok</v>
      </c>
    </row>
    <row r="12" customFormat="false" ht="15" hidden="false" customHeight="false" outlineLevel="0" collapsed="false">
      <c r="A12" s="18" t="str">
        <f aca="false">Firmalar!$A$5</f>
        <v>Özgün Mold</v>
      </c>
      <c r="B12" s="25" t="n">
        <v>7</v>
      </c>
      <c r="C12" s="26" t="str">
        <f aca="false">IF(Firmalar!$I$5="","",Firmalar!$I$5+15*(B12-1))</f>
        <v/>
      </c>
      <c r="D12" s="21" t="n">
        <f aca="false">MIN(Firmalar!$G$5,Firmalar!$F$5-Firmalar!$G$5*(B12-1))</f>
        <v>20000</v>
      </c>
      <c r="E12" s="25" t="str">
        <f aca="false">Firmalar!$C$5</f>
        <v>USD</v>
      </c>
      <c r="F12" s="21" t="n">
        <f aca="false">SUMIFS($D$6:D12,$A$6:A12,A12)</f>
        <v>140000</v>
      </c>
      <c r="G12" s="21" t="n">
        <f aca="false">SUMIFS(Ödemeler!$E$6:$E$305,Ödemeler!$C$6:$C$305,A12)</f>
        <v>0</v>
      </c>
      <c r="H12" s="25" t="str">
        <f aca="true">IF(G12&gt;=F12,"Ödendi",IF(C12="","Tarih yok",IF(C12&lt;TODAY(),"GECİKTİ","Bekliyor")))</f>
        <v>Tarih yok</v>
      </c>
    </row>
    <row r="13" customFormat="false" ht="15" hidden="false" customHeight="false" outlineLevel="0" collapsed="false">
      <c r="A13" s="18" t="str">
        <f aca="false">Firmalar!$A$5</f>
        <v>Özgün Mold</v>
      </c>
      <c r="B13" s="25" t="n">
        <v>8</v>
      </c>
      <c r="C13" s="26" t="str">
        <f aca="false">IF(Firmalar!$I$5="","",Firmalar!$I$5+15*(B13-1))</f>
        <v/>
      </c>
      <c r="D13" s="21" t="n">
        <f aca="false">MIN(Firmalar!$G$5,Firmalar!$F$5-Firmalar!$G$5*(B13-1))</f>
        <v>20000</v>
      </c>
      <c r="E13" s="25" t="str">
        <f aca="false">Firmalar!$C$5</f>
        <v>USD</v>
      </c>
      <c r="F13" s="21" t="n">
        <f aca="false">SUMIFS($D$6:D13,$A$6:A13,A13)</f>
        <v>160000</v>
      </c>
      <c r="G13" s="21" t="n">
        <f aca="false">SUMIFS(Ödemeler!$E$6:$E$305,Ödemeler!$C$6:$C$305,A13)</f>
        <v>0</v>
      </c>
      <c r="H13" s="25" t="str">
        <f aca="true">IF(G13&gt;=F13,"Ödendi",IF(C13="","Tarih yok",IF(C13&lt;TODAY(),"GECİKTİ","Bekliyor")))</f>
        <v>Tarih yok</v>
      </c>
    </row>
    <row r="14" customFormat="false" ht="15" hidden="false" customHeight="false" outlineLevel="0" collapsed="false">
      <c r="A14" s="18" t="str">
        <f aca="false">Firmalar!$A$5</f>
        <v>Özgün Mold</v>
      </c>
      <c r="B14" s="25" t="n">
        <v>9</v>
      </c>
      <c r="C14" s="26" t="str">
        <f aca="false">IF(Firmalar!$I$5="","",Firmalar!$I$5+15*(B14-1))</f>
        <v/>
      </c>
      <c r="D14" s="21" t="n">
        <f aca="false">MIN(Firmalar!$G$5,Firmalar!$F$5-Firmalar!$G$5*(B14-1))</f>
        <v>20000</v>
      </c>
      <c r="E14" s="25" t="str">
        <f aca="false">Firmalar!$C$5</f>
        <v>USD</v>
      </c>
      <c r="F14" s="21" t="n">
        <f aca="false">SUMIFS($D$6:D14,$A$6:A14,A14)</f>
        <v>180000</v>
      </c>
      <c r="G14" s="21" t="n">
        <f aca="false">SUMIFS(Ödemeler!$E$6:$E$305,Ödemeler!$C$6:$C$305,A14)</f>
        <v>0</v>
      </c>
      <c r="H14" s="25" t="str">
        <f aca="true">IF(G14&gt;=F14,"Ödendi",IF(C14="","Tarih yok",IF(C14&lt;TODAY(),"GECİKTİ","Bekliyor")))</f>
        <v>Tarih yok</v>
      </c>
    </row>
    <row r="15" customFormat="false" ht="15" hidden="false" customHeight="false" outlineLevel="0" collapsed="false">
      <c r="A15" s="18" t="str">
        <f aca="false">Firmalar!$A$5</f>
        <v>Özgün Mold</v>
      </c>
      <c r="B15" s="25" t="n">
        <v>10</v>
      </c>
      <c r="C15" s="26" t="str">
        <f aca="false">IF(Firmalar!$I$5="","",Firmalar!$I$5+15*(B15-1))</f>
        <v/>
      </c>
      <c r="D15" s="21" t="n">
        <f aca="false">MIN(Firmalar!$G$5,Firmalar!$F$5-Firmalar!$G$5*(B15-1))</f>
        <v>20000</v>
      </c>
      <c r="E15" s="25" t="str">
        <f aca="false">Firmalar!$C$5</f>
        <v>USD</v>
      </c>
      <c r="F15" s="21" t="n">
        <f aca="false">SUMIFS($D$6:D15,$A$6:A15,A15)</f>
        <v>200000</v>
      </c>
      <c r="G15" s="21" t="n">
        <f aca="false">SUMIFS(Ödemeler!$E$6:$E$305,Ödemeler!$C$6:$C$305,A15)</f>
        <v>0</v>
      </c>
      <c r="H15" s="25" t="str">
        <f aca="true">IF(G15&gt;=F15,"Ödendi",IF(C15="","Tarih yok",IF(C15&lt;TODAY(),"GECİKTİ","Bekliyor")))</f>
        <v>Tarih yok</v>
      </c>
    </row>
    <row r="16" customFormat="false" ht="15" hidden="false" customHeight="false" outlineLevel="0" collapsed="false">
      <c r="A16" s="18" t="str">
        <f aca="false">Firmalar!$A$5</f>
        <v>Özgün Mold</v>
      </c>
      <c r="B16" s="25" t="n">
        <v>11</v>
      </c>
      <c r="C16" s="26" t="str">
        <f aca="false">IF(Firmalar!$I$5="","",Firmalar!$I$5+15*(B16-1))</f>
        <v/>
      </c>
      <c r="D16" s="21" t="n">
        <f aca="false">MIN(Firmalar!$G$5,Firmalar!$F$5-Firmalar!$G$5*(B16-1))</f>
        <v>20000</v>
      </c>
      <c r="E16" s="25" t="str">
        <f aca="false">Firmalar!$C$5</f>
        <v>USD</v>
      </c>
      <c r="F16" s="21" t="n">
        <f aca="false">SUMIFS($D$6:D16,$A$6:A16,A16)</f>
        <v>220000</v>
      </c>
      <c r="G16" s="21" t="n">
        <f aca="false">SUMIFS(Ödemeler!$E$6:$E$305,Ödemeler!$C$6:$C$305,A16)</f>
        <v>0</v>
      </c>
      <c r="H16" s="25" t="str">
        <f aca="true">IF(G16&gt;=F16,"Ödendi",IF(C16="","Tarih yok",IF(C16&lt;TODAY(),"GECİKTİ","Bekliyor")))</f>
        <v>Tarih yok</v>
      </c>
    </row>
    <row r="17" customFormat="false" ht="15" hidden="false" customHeight="false" outlineLevel="0" collapsed="false">
      <c r="A17" s="18" t="str">
        <f aca="false">Firmalar!$A$5</f>
        <v>Özgün Mold</v>
      </c>
      <c r="B17" s="25" t="n">
        <v>12</v>
      </c>
      <c r="C17" s="26" t="str">
        <f aca="false">IF(Firmalar!$I$5="","",Firmalar!$I$5+15*(B17-1))</f>
        <v/>
      </c>
      <c r="D17" s="21" t="n">
        <f aca="false">MIN(Firmalar!$G$5,Firmalar!$F$5-Firmalar!$G$5*(B17-1))</f>
        <v>20000</v>
      </c>
      <c r="E17" s="25" t="str">
        <f aca="false">Firmalar!$C$5</f>
        <v>USD</v>
      </c>
      <c r="F17" s="21" t="n">
        <f aca="false">SUMIFS($D$6:D17,$A$6:A17,A17)</f>
        <v>240000</v>
      </c>
      <c r="G17" s="21" t="n">
        <f aca="false">SUMIFS(Ödemeler!$E$6:$E$305,Ödemeler!$C$6:$C$305,A17)</f>
        <v>0</v>
      </c>
      <c r="H17" s="25" t="str">
        <f aca="true">IF(G17&gt;=F17,"Ödendi",IF(C17="","Tarih yok",IF(C17&lt;TODAY(),"GECİKTİ","Bekliyor")))</f>
        <v>Tarih yok</v>
      </c>
    </row>
    <row r="18" customFormat="false" ht="15" hidden="false" customHeight="false" outlineLevel="0" collapsed="false">
      <c r="A18" s="18" t="str">
        <f aca="false">Firmalar!$A$5</f>
        <v>Özgün Mold</v>
      </c>
      <c r="B18" s="25" t="n">
        <v>13</v>
      </c>
      <c r="C18" s="26" t="str">
        <f aca="false">IF(Firmalar!$I$5="","",Firmalar!$I$5+15*(B18-1))</f>
        <v/>
      </c>
      <c r="D18" s="21" t="n">
        <f aca="false">MIN(Firmalar!$G$5,Firmalar!$F$5-Firmalar!$G$5*(B18-1))</f>
        <v>18000</v>
      </c>
      <c r="E18" s="25" t="str">
        <f aca="false">Firmalar!$C$5</f>
        <v>USD</v>
      </c>
      <c r="F18" s="21" t="n">
        <f aca="false">SUMIFS($D$6:D18,$A$6:A18,A18)</f>
        <v>258000</v>
      </c>
      <c r="G18" s="21" t="n">
        <f aca="false">SUMIFS(Ödemeler!$E$6:$E$305,Ödemeler!$C$6:$C$305,A18)</f>
        <v>0</v>
      </c>
      <c r="H18" s="25" t="str">
        <f aca="true">IF(G18&gt;=F18,"Ödendi",IF(C18="","Tarih yok",IF(C18&lt;TODAY(),"GECİKTİ","Bekliyor")))</f>
        <v>Tarih yok</v>
      </c>
    </row>
    <row r="19" customFormat="false" ht="15" hidden="false" customHeight="false" outlineLevel="0" collapsed="false">
      <c r="A19" s="27" t="str">
        <f aca="false">Firmalar!$A$5</f>
        <v>Özgün Mold</v>
      </c>
      <c r="B19" s="27" t="s">
        <v>47</v>
      </c>
      <c r="C19" s="27" t="s">
        <v>48</v>
      </c>
      <c r="D19" s="28" t="n">
        <f aca="false">Firmalar!$D$5-Firmalar!$F$5</f>
        <v>172000</v>
      </c>
      <c r="E19" s="27" t="str">
        <f aca="false">Firmalar!$C$5</f>
        <v>USD</v>
      </c>
      <c r="F19" s="28" t="n">
        <f aca="false">Firmalar!$D$5</f>
        <v>430000</v>
      </c>
      <c r="G19" s="28" t="n">
        <f aca="false">SUMIFS(Ödemeler!$E$6:$E$305,Ödemeler!$C$6:$C$305,A19)</f>
        <v>0</v>
      </c>
      <c r="H19" s="27" t="str">
        <f aca="false">"%40 – "&amp;Firmalar!$H$5&amp;" eşit taksit: "&amp;TEXT(D19/Firmalar!$H$5,"#,##0")&amp;" "&amp;E19</f>
        <v>%40 – 2 eşit taksit: 86,000 USD</v>
      </c>
    </row>
    <row r="20" customFormat="false" ht="15" hidden="false" customHeight="false" outlineLevel="0" collapsed="false">
      <c r="A20" s="29" t="str">
        <f aca="false">Firmalar!$A$6</f>
        <v>Teknik Plastik</v>
      </c>
      <c r="B20" s="30" t="n">
        <v>1</v>
      </c>
      <c r="C20" s="31" t="str">
        <f aca="false">IF(Firmalar!$I$6="","",Firmalar!$I$6+15*(B20-1))</f>
        <v/>
      </c>
      <c r="D20" s="32" t="n">
        <f aca="false">MIN(Firmalar!$G$6,Firmalar!$F$6-Firmalar!$G$6*(B20-1))</f>
        <v>15000</v>
      </c>
      <c r="E20" s="30" t="str">
        <f aca="false">Firmalar!$C$6</f>
        <v>EUR</v>
      </c>
      <c r="F20" s="32" t="n">
        <f aca="false">SUMIFS($D$6:D20,$A$6:A20,A20)</f>
        <v>15000</v>
      </c>
      <c r="G20" s="32" t="n">
        <f aca="false">SUMIFS(Ödemeler!$E$6:$E$305,Ödemeler!$C$6:$C$305,A20)</f>
        <v>0</v>
      </c>
      <c r="H20" s="30" t="str">
        <f aca="true">IF(G20&gt;=F20,"Ödendi",IF(C20="","Tarih yok",IF(C20&lt;TODAY(),"GECİKTİ","Bekliyor")))</f>
        <v>Tarih yok</v>
      </c>
    </row>
    <row r="21" customFormat="false" ht="15" hidden="false" customHeight="false" outlineLevel="0" collapsed="false">
      <c r="A21" s="29" t="str">
        <f aca="false">Firmalar!$A$6</f>
        <v>Teknik Plastik</v>
      </c>
      <c r="B21" s="30" t="n">
        <v>2</v>
      </c>
      <c r="C21" s="31" t="str">
        <f aca="false">IF(Firmalar!$I$6="","",Firmalar!$I$6+15*(B21-1))</f>
        <v/>
      </c>
      <c r="D21" s="32" t="n">
        <f aca="false">MIN(Firmalar!$G$6,Firmalar!$F$6-Firmalar!$G$6*(B21-1))</f>
        <v>15000</v>
      </c>
      <c r="E21" s="30" t="str">
        <f aca="false">Firmalar!$C$6</f>
        <v>EUR</v>
      </c>
      <c r="F21" s="32" t="n">
        <f aca="false">SUMIFS($D$6:D21,$A$6:A21,A21)</f>
        <v>30000</v>
      </c>
      <c r="G21" s="32" t="n">
        <f aca="false">SUMIFS(Ödemeler!$E$6:$E$305,Ödemeler!$C$6:$C$305,A21)</f>
        <v>0</v>
      </c>
      <c r="H21" s="30" t="str">
        <f aca="true">IF(G21&gt;=F21,"Ödendi",IF(C21="","Tarih yok",IF(C21&lt;TODAY(),"GECİKTİ","Bekliyor")))</f>
        <v>Tarih yok</v>
      </c>
    </row>
    <row r="22" customFormat="false" ht="15" hidden="false" customHeight="false" outlineLevel="0" collapsed="false">
      <c r="A22" s="29" t="str">
        <f aca="false">Firmalar!$A$6</f>
        <v>Teknik Plastik</v>
      </c>
      <c r="B22" s="30" t="n">
        <v>3</v>
      </c>
      <c r="C22" s="31" t="str">
        <f aca="false">IF(Firmalar!$I$6="","",Firmalar!$I$6+15*(B22-1))</f>
        <v/>
      </c>
      <c r="D22" s="32" t="n">
        <f aca="false">MIN(Firmalar!$G$6,Firmalar!$F$6-Firmalar!$G$6*(B22-1))</f>
        <v>15000</v>
      </c>
      <c r="E22" s="30" t="str">
        <f aca="false">Firmalar!$C$6</f>
        <v>EUR</v>
      </c>
      <c r="F22" s="32" t="n">
        <f aca="false">SUMIFS($D$6:D22,$A$6:A22,A22)</f>
        <v>45000</v>
      </c>
      <c r="G22" s="32" t="n">
        <f aca="false">SUMIFS(Ödemeler!$E$6:$E$305,Ödemeler!$C$6:$C$305,A22)</f>
        <v>0</v>
      </c>
      <c r="H22" s="30" t="str">
        <f aca="true">IF(G22&gt;=F22,"Ödendi",IF(C22="","Tarih yok",IF(C22&lt;TODAY(),"GECİKTİ","Bekliyor")))</f>
        <v>Tarih yok</v>
      </c>
    </row>
    <row r="23" customFormat="false" ht="15" hidden="false" customHeight="false" outlineLevel="0" collapsed="false">
      <c r="A23" s="29" t="str">
        <f aca="false">Firmalar!$A$6</f>
        <v>Teknik Plastik</v>
      </c>
      <c r="B23" s="30" t="n">
        <v>4</v>
      </c>
      <c r="C23" s="31" t="str">
        <f aca="false">IF(Firmalar!$I$6="","",Firmalar!$I$6+15*(B23-1))</f>
        <v/>
      </c>
      <c r="D23" s="32" t="n">
        <f aca="false">MIN(Firmalar!$G$6,Firmalar!$F$6-Firmalar!$G$6*(B23-1))</f>
        <v>15000</v>
      </c>
      <c r="E23" s="30" t="str">
        <f aca="false">Firmalar!$C$6</f>
        <v>EUR</v>
      </c>
      <c r="F23" s="32" t="n">
        <f aca="false">SUMIFS($D$6:D23,$A$6:A23,A23)</f>
        <v>60000</v>
      </c>
      <c r="G23" s="32" t="n">
        <f aca="false">SUMIFS(Ödemeler!$E$6:$E$305,Ödemeler!$C$6:$C$305,A23)</f>
        <v>0</v>
      </c>
      <c r="H23" s="30" t="str">
        <f aca="true">IF(G23&gt;=F23,"Ödendi",IF(C23="","Tarih yok",IF(C23&lt;TODAY(),"GECİKTİ","Bekliyor")))</f>
        <v>Tarih yok</v>
      </c>
    </row>
    <row r="24" customFormat="false" ht="15" hidden="false" customHeight="false" outlineLevel="0" collapsed="false">
      <c r="A24" s="29" t="str">
        <f aca="false">Firmalar!$A$6</f>
        <v>Teknik Plastik</v>
      </c>
      <c r="B24" s="30" t="n">
        <v>5</v>
      </c>
      <c r="C24" s="31" t="str">
        <f aca="false">IF(Firmalar!$I$6="","",Firmalar!$I$6+15*(B24-1))</f>
        <v/>
      </c>
      <c r="D24" s="32" t="n">
        <f aca="false">MIN(Firmalar!$G$6,Firmalar!$F$6-Firmalar!$G$6*(B24-1))</f>
        <v>15000</v>
      </c>
      <c r="E24" s="30" t="str">
        <f aca="false">Firmalar!$C$6</f>
        <v>EUR</v>
      </c>
      <c r="F24" s="32" t="n">
        <f aca="false">SUMIFS($D$6:D24,$A$6:A24,A24)</f>
        <v>75000</v>
      </c>
      <c r="G24" s="32" t="n">
        <f aca="false">SUMIFS(Ödemeler!$E$6:$E$305,Ödemeler!$C$6:$C$305,A24)</f>
        <v>0</v>
      </c>
      <c r="H24" s="30" t="str">
        <f aca="true">IF(G24&gt;=F24,"Ödendi",IF(C24="","Tarih yok",IF(C24&lt;TODAY(),"GECİKTİ","Bekliyor")))</f>
        <v>Tarih yok</v>
      </c>
    </row>
    <row r="25" customFormat="false" ht="15" hidden="false" customHeight="false" outlineLevel="0" collapsed="false">
      <c r="A25" s="29" t="str">
        <f aca="false">Firmalar!$A$6</f>
        <v>Teknik Plastik</v>
      </c>
      <c r="B25" s="30" t="n">
        <v>6</v>
      </c>
      <c r="C25" s="31" t="str">
        <f aca="false">IF(Firmalar!$I$6="","",Firmalar!$I$6+15*(B25-1))</f>
        <v/>
      </c>
      <c r="D25" s="32" t="n">
        <f aca="false">MIN(Firmalar!$G$6,Firmalar!$F$6-Firmalar!$G$6*(B25-1))</f>
        <v>15000</v>
      </c>
      <c r="E25" s="30" t="str">
        <f aca="false">Firmalar!$C$6</f>
        <v>EUR</v>
      </c>
      <c r="F25" s="32" t="n">
        <f aca="false">SUMIFS($D$6:D25,$A$6:A25,A25)</f>
        <v>90000</v>
      </c>
      <c r="G25" s="32" t="n">
        <f aca="false">SUMIFS(Ödemeler!$E$6:$E$305,Ödemeler!$C$6:$C$305,A25)</f>
        <v>0</v>
      </c>
      <c r="H25" s="30" t="str">
        <f aca="true">IF(G25&gt;=F25,"Ödendi",IF(C25="","Tarih yok",IF(C25&lt;TODAY(),"GECİKTİ","Bekliyor")))</f>
        <v>Tarih yok</v>
      </c>
    </row>
    <row r="26" customFormat="false" ht="15" hidden="false" customHeight="false" outlineLevel="0" collapsed="false">
      <c r="A26" s="29" t="str">
        <f aca="false">Firmalar!$A$6</f>
        <v>Teknik Plastik</v>
      </c>
      <c r="B26" s="30" t="n">
        <v>7</v>
      </c>
      <c r="C26" s="31" t="str">
        <f aca="false">IF(Firmalar!$I$6="","",Firmalar!$I$6+15*(B26-1))</f>
        <v/>
      </c>
      <c r="D26" s="32" t="n">
        <f aca="false">MIN(Firmalar!$G$6,Firmalar!$F$6-Firmalar!$G$6*(B26-1))</f>
        <v>15000</v>
      </c>
      <c r="E26" s="30" t="str">
        <f aca="false">Firmalar!$C$6</f>
        <v>EUR</v>
      </c>
      <c r="F26" s="32" t="n">
        <f aca="false">SUMIFS($D$6:D26,$A$6:A26,A26)</f>
        <v>105000</v>
      </c>
      <c r="G26" s="32" t="n">
        <f aca="false">SUMIFS(Ödemeler!$E$6:$E$305,Ödemeler!$C$6:$C$305,A26)</f>
        <v>0</v>
      </c>
      <c r="H26" s="30" t="str">
        <f aca="true">IF(G26&gt;=F26,"Ödendi",IF(C26="","Tarih yok",IF(C26&lt;TODAY(),"GECİKTİ","Bekliyor")))</f>
        <v>Tarih yok</v>
      </c>
    </row>
    <row r="27" customFormat="false" ht="15" hidden="false" customHeight="false" outlineLevel="0" collapsed="false">
      <c r="A27" s="29" t="str">
        <f aca="false">Firmalar!$A$6</f>
        <v>Teknik Plastik</v>
      </c>
      <c r="B27" s="30" t="n">
        <v>8</v>
      </c>
      <c r="C27" s="31" t="str">
        <f aca="false">IF(Firmalar!$I$6="","",Firmalar!$I$6+15*(B27-1))</f>
        <v/>
      </c>
      <c r="D27" s="32" t="n">
        <f aca="false">MIN(Firmalar!$G$6,Firmalar!$F$6-Firmalar!$G$6*(B27-1))</f>
        <v>15000</v>
      </c>
      <c r="E27" s="30" t="str">
        <f aca="false">Firmalar!$C$6</f>
        <v>EUR</v>
      </c>
      <c r="F27" s="32" t="n">
        <f aca="false">SUMIFS($D$6:D27,$A$6:A27,A27)</f>
        <v>120000</v>
      </c>
      <c r="G27" s="32" t="n">
        <f aca="false">SUMIFS(Ödemeler!$E$6:$E$305,Ödemeler!$C$6:$C$305,A27)</f>
        <v>0</v>
      </c>
      <c r="H27" s="30" t="str">
        <f aca="true">IF(G27&gt;=F27,"Ödendi",IF(C27="","Tarih yok",IF(C27&lt;TODAY(),"GECİKTİ","Bekliyor")))</f>
        <v>Tarih yok</v>
      </c>
    </row>
    <row r="28" customFormat="false" ht="15" hidden="false" customHeight="false" outlineLevel="0" collapsed="false">
      <c r="A28" s="29" t="str">
        <f aca="false">Firmalar!$A$6</f>
        <v>Teknik Plastik</v>
      </c>
      <c r="B28" s="30" t="n">
        <v>9</v>
      </c>
      <c r="C28" s="31" t="str">
        <f aca="false">IF(Firmalar!$I$6="","",Firmalar!$I$6+15*(B28-1))</f>
        <v/>
      </c>
      <c r="D28" s="32" t="n">
        <f aca="false">MIN(Firmalar!$G$6,Firmalar!$F$6-Firmalar!$G$6*(B28-1))</f>
        <v>15000</v>
      </c>
      <c r="E28" s="30" t="str">
        <f aca="false">Firmalar!$C$6</f>
        <v>EUR</v>
      </c>
      <c r="F28" s="32" t="n">
        <f aca="false">SUMIFS($D$6:D28,$A$6:A28,A28)</f>
        <v>135000</v>
      </c>
      <c r="G28" s="32" t="n">
        <f aca="false">SUMIFS(Ödemeler!$E$6:$E$305,Ödemeler!$C$6:$C$305,A28)</f>
        <v>0</v>
      </c>
      <c r="H28" s="30" t="str">
        <f aca="true">IF(G28&gt;=F28,"Ödendi",IF(C28="","Tarih yok",IF(C28&lt;TODAY(),"GECİKTİ","Bekliyor")))</f>
        <v>Tarih yok</v>
      </c>
    </row>
    <row r="29" customFormat="false" ht="15" hidden="false" customHeight="false" outlineLevel="0" collapsed="false">
      <c r="A29" s="29" t="str">
        <f aca="false">Firmalar!$A$6</f>
        <v>Teknik Plastik</v>
      </c>
      <c r="B29" s="30" t="n">
        <v>10</v>
      </c>
      <c r="C29" s="31" t="str">
        <f aca="false">IF(Firmalar!$I$6="","",Firmalar!$I$6+15*(B29-1))</f>
        <v/>
      </c>
      <c r="D29" s="32" t="n">
        <f aca="false">MIN(Firmalar!$G$6,Firmalar!$F$6-Firmalar!$G$6*(B29-1))</f>
        <v>15000</v>
      </c>
      <c r="E29" s="30" t="str">
        <f aca="false">Firmalar!$C$6</f>
        <v>EUR</v>
      </c>
      <c r="F29" s="32" t="n">
        <f aca="false">SUMIFS($D$6:D29,$A$6:A29,A29)</f>
        <v>150000</v>
      </c>
      <c r="G29" s="32" t="n">
        <f aca="false">SUMIFS(Ödemeler!$E$6:$E$305,Ödemeler!$C$6:$C$305,A29)</f>
        <v>0</v>
      </c>
      <c r="H29" s="30" t="str">
        <f aca="true">IF(G29&gt;=F29,"Ödendi",IF(C29="","Tarih yok",IF(C29&lt;TODAY(),"GECİKTİ","Bekliyor")))</f>
        <v>Tarih yok</v>
      </c>
    </row>
    <row r="30" customFormat="false" ht="15" hidden="false" customHeight="false" outlineLevel="0" collapsed="false">
      <c r="A30" s="29" t="str">
        <f aca="false">Firmalar!$A$6</f>
        <v>Teknik Plastik</v>
      </c>
      <c r="B30" s="30" t="n">
        <v>11</v>
      </c>
      <c r="C30" s="31" t="str">
        <f aca="false">IF(Firmalar!$I$6="","",Firmalar!$I$6+15*(B30-1))</f>
        <v/>
      </c>
      <c r="D30" s="32" t="n">
        <f aca="false">MIN(Firmalar!$G$6,Firmalar!$F$6-Firmalar!$G$6*(B30-1))</f>
        <v>15000</v>
      </c>
      <c r="E30" s="30" t="str">
        <f aca="false">Firmalar!$C$6</f>
        <v>EUR</v>
      </c>
      <c r="F30" s="32" t="n">
        <f aca="false">SUMIFS($D$6:D30,$A$6:A30,A30)</f>
        <v>165000</v>
      </c>
      <c r="G30" s="32" t="n">
        <f aca="false">SUMIFS(Ödemeler!$E$6:$E$305,Ödemeler!$C$6:$C$305,A30)</f>
        <v>0</v>
      </c>
      <c r="H30" s="30" t="str">
        <f aca="true">IF(G30&gt;=F30,"Ödendi",IF(C30="","Tarih yok",IF(C30&lt;TODAY(),"GECİKTİ","Bekliyor")))</f>
        <v>Tarih yok</v>
      </c>
    </row>
    <row r="31" customFormat="false" ht="15" hidden="false" customHeight="false" outlineLevel="0" collapsed="false">
      <c r="A31" s="33" t="str">
        <f aca="false">Firmalar!$A$6</f>
        <v>Teknik Plastik</v>
      </c>
      <c r="B31" s="33" t="s">
        <v>47</v>
      </c>
      <c r="C31" s="33" t="s">
        <v>48</v>
      </c>
      <c r="D31" s="34" t="n">
        <f aca="false">Firmalar!$D$6-Firmalar!$F$6</f>
        <v>110000</v>
      </c>
      <c r="E31" s="33" t="str">
        <f aca="false">Firmalar!$C$6</f>
        <v>EUR</v>
      </c>
      <c r="F31" s="34" t="n">
        <f aca="false">Firmalar!$D$6</f>
        <v>275000</v>
      </c>
      <c r="G31" s="34" t="n">
        <f aca="false">SUMIFS(Ödemeler!$E$6:$E$305,Ödemeler!$C$6:$C$305,A31)</f>
        <v>0</v>
      </c>
      <c r="H31" s="33" t="str">
        <f aca="false">"%40 – "&amp;Firmalar!$H$6&amp;" eşit taksit: "&amp;TEXT(D31/Firmalar!$H$6,"#,##0")&amp;" "&amp;E31</f>
        <v>%40 – 2 eşit taksit: 55,000 EUR</v>
      </c>
    </row>
    <row r="32" customFormat="false" ht="15" hidden="false" customHeight="false" outlineLevel="0" collapsed="false">
      <c r="A32" s="18" t="str">
        <f aca="false">Firmalar!$A$7</f>
        <v>Nersetech</v>
      </c>
      <c r="B32" s="25" t="n">
        <v>1</v>
      </c>
      <c r="C32" s="26" t="str">
        <f aca="false">IF(Firmalar!$I$7="","",Firmalar!$I$7+15*(B32-1))</f>
        <v/>
      </c>
      <c r="D32" s="21" t="n">
        <f aca="false">MIN(Firmalar!$G$7,Firmalar!$F$7-Firmalar!$G$7*(B32-1))</f>
        <v>15450</v>
      </c>
      <c r="E32" s="25" t="str">
        <f aca="false">Firmalar!$C$7</f>
        <v>EUR</v>
      </c>
      <c r="F32" s="21" t="n">
        <f aca="false">SUMIFS($D$6:D32,$A$6:A32,A32)</f>
        <v>15450</v>
      </c>
      <c r="G32" s="21" t="n">
        <f aca="false">SUMIFS(Ödemeler!$E$6:$E$305,Ödemeler!$C$6:$C$305,A32)</f>
        <v>0</v>
      </c>
      <c r="H32" s="25" t="str">
        <f aca="true">IF(G32&gt;=F32,"Ödendi",IF(C32="","Tarih yok",IF(C32&lt;TODAY(),"GECİKTİ","Bekliyor")))</f>
        <v>Tarih yok</v>
      </c>
    </row>
    <row r="33" customFormat="false" ht="15" hidden="false" customHeight="false" outlineLevel="0" collapsed="false">
      <c r="A33" s="18" t="str">
        <f aca="false">Firmalar!$A$7</f>
        <v>Nersetech</v>
      </c>
      <c r="B33" s="25" t="n">
        <v>2</v>
      </c>
      <c r="C33" s="26" t="str">
        <f aca="false">IF(Firmalar!$I$7="","",Firmalar!$I$7+15*(B33-1))</f>
        <v/>
      </c>
      <c r="D33" s="21" t="n">
        <f aca="false">MIN(Firmalar!$G$7,Firmalar!$F$7-Firmalar!$G$7*(B33-1))</f>
        <v>15450</v>
      </c>
      <c r="E33" s="25" t="str">
        <f aca="false">Firmalar!$C$7</f>
        <v>EUR</v>
      </c>
      <c r="F33" s="21" t="n">
        <f aca="false">SUMIFS($D$6:D33,$A$6:A33,A33)</f>
        <v>30900</v>
      </c>
      <c r="G33" s="21" t="n">
        <f aca="false">SUMIFS(Ödemeler!$E$6:$E$305,Ödemeler!$C$6:$C$305,A33)</f>
        <v>0</v>
      </c>
      <c r="H33" s="25" t="str">
        <f aca="true">IF(G33&gt;=F33,"Ödendi",IF(C33="","Tarih yok",IF(C33&lt;TODAY(),"GECİKTİ","Bekliyor")))</f>
        <v>Tarih yok</v>
      </c>
    </row>
    <row r="34" customFormat="false" ht="15" hidden="false" customHeight="false" outlineLevel="0" collapsed="false">
      <c r="A34" s="18" t="str">
        <f aca="false">Firmalar!$A$7</f>
        <v>Nersetech</v>
      </c>
      <c r="B34" s="25" t="n">
        <v>3</v>
      </c>
      <c r="C34" s="26" t="str">
        <f aca="false">IF(Firmalar!$I$7="","",Firmalar!$I$7+15*(B34-1))</f>
        <v/>
      </c>
      <c r="D34" s="21" t="n">
        <f aca="false">MIN(Firmalar!$G$7,Firmalar!$F$7-Firmalar!$G$7*(B34-1))</f>
        <v>15450</v>
      </c>
      <c r="E34" s="25" t="str">
        <f aca="false">Firmalar!$C$7</f>
        <v>EUR</v>
      </c>
      <c r="F34" s="21" t="n">
        <f aca="false">SUMIFS($D$6:D34,$A$6:A34,A34)</f>
        <v>46350</v>
      </c>
      <c r="G34" s="21" t="n">
        <f aca="false">SUMIFS(Ödemeler!$E$6:$E$305,Ödemeler!$C$6:$C$305,A34)</f>
        <v>0</v>
      </c>
      <c r="H34" s="25" t="str">
        <f aca="true">IF(G34&gt;=F34,"Ödendi",IF(C34="","Tarih yok",IF(C34&lt;TODAY(),"GECİKTİ","Bekliyor")))</f>
        <v>Tarih yok</v>
      </c>
    </row>
    <row r="35" customFormat="false" ht="15" hidden="false" customHeight="false" outlineLevel="0" collapsed="false">
      <c r="A35" s="18" t="str">
        <f aca="false">Firmalar!$A$7</f>
        <v>Nersetech</v>
      </c>
      <c r="B35" s="25" t="n">
        <v>4</v>
      </c>
      <c r="C35" s="26" t="str">
        <f aca="false">IF(Firmalar!$I$7="","",Firmalar!$I$7+15*(B35-1))</f>
        <v/>
      </c>
      <c r="D35" s="21" t="n">
        <f aca="false">MIN(Firmalar!$G$7,Firmalar!$F$7-Firmalar!$G$7*(B35-1))</f>
        <v>15450</v>
      </c>
      <c r="E35" s="25" t="str">
        <f aca="false">Firmalar!$C$7</f>
        <v>EUR</v>
      </c>
      <c r="F35" s="21" t="n">
        <f aca="false">SUMIFS($D$6:D35,$A$6:A35,A35)</f>
        <v>61800</v>
      </c>
      <c r="G35" s="21" t="n">
        <f aca="false">SUMIFS(Ödemeler!$E$6:$E$305,Ödemeler!$C$6:$C$305,A35)</f>
        <v>0</v>
      </c>
      <c r="H35" s="25" t="str">
        <f aca="true">IF(G35&gt;=F35,"Ödendi",IF(C35="","Tarih yok",IF(C35&lt;TODAY(),"GECİKTİ","Bekliyor")))</f>
        <v>Tarih yok</v>
      </c>
    </row>
    <row r="36" customFormat="false" ht="15" hidden="false" customHeight="false" outlineLevel="0" collapsed="false">
      <c r="A36" s="18" t="str">
        <f aca="false">Firmalar!$A$7</f>
        <v>Nersetech</v>
      </c>
      <c r="B36" s="25" t="n">
        <v>5</v>
      </c>
      <c r="C36" s="26" t="str">
        <f aca="false">IF(Firmalar!$I$7="","",Firmalar!$I$7+15*(B36-1))</f>
        <v/>
      </c>
      <c r="D36" s="21" t="n">
        <f aca="false">MIN(Firmalar!$G$7,Firmalar!$F$7-Firmalar!$G$7*(B36-1))</f>
        <v>15450</v>
      </c>
      <c r="E36" s="25" t="str">
        <f aca="false">Firmalar!$C$7</f>
        <v>EUR</v>
      </c>
      <c r="F36" s="21" t="n">
        <f aca="false">SUMIFS($D$6:D36,$A$6:A36,A36)</f>
        <v>77250</v>
      </c>
      <c r="G36" s="21" t="n">
        <f aca="false">SUMIFS(Ödemeler!$E$6:$E$305,Ödemeler!$C$6:$C$305,A36)</f>
        <v>0</v>
      </c>
      <c r="H36" s="25" t="str">
        <f aca="true">IF(G36&gt;=F36,"Ödendi",IF(C36="","Tarih yok",IF(C36&lt;TODAY(),"GECİKTİ","Bekliyor")))</f>
        <v>Tarih yok</v>
      </c>
    </row>
    <row r="37" customFormat="false" ht="15" hidden="false" customHeight="false" outlineLevel="0" collapsed="false">
      <c r="A37" s="18" t="str">
        <f aca="false">Firmalar!$A$7</f>
        <v>Nersetech</v>
      </c>
      <c r="B37" s="25" t="n">
        <v>6</v>
      </c>
      <c r="C37" s="26" t="str">
        <f aca="false">IF(Firmalar!$I$7="","",Firmalar!$I$7+15*(B37-1))</f>
        <v/>
      </c>
      <c r="D37" s="21" t="n">
        <f aca="false">MIN(Firmalar!$G$7,Firmalar!$F$7-Firmalar!$G$7*(B37-1))</f>
        <v>15450</v>
      </c>
      <c r="E37" s="25" t="str">
        <f aca="false">Firmalar!$C$7</f>
        <v>EUR</v>
      </c>
      <c r="F37" s="21" t="n">
        <f aca="false">SUMIFS($D$6:D37,$A$6:A37,A37)</f>
        <v>92700</v>
      </c>
      <c r="G37" s="21" t="n">
        <f aca="false">SUMIFS(Ödemeler!$E$6:$E$305,Ödemeler!$C$6:$C$305,A37)</f>
        <v>0</v>
      </c>
      <c r="H37" s="25" t="str">
        <f aca="true">IF(G37&gt;=F37,"Ödendi",IF(C37="","Tarih yok",IF(C37&lt;TODAY(),"GECİKTİ","Bekliyor")))</f>
        <v>Tarih yok</v>
      </c>
    </row>
    <row r="38" customFormat="false" ht="15" hidden="false" customHeight="false" outlineLevel="0" collapsed="false">
      <c r="A38" s="18" t="str">
        <f aca="false">Firmalar!$A$7</f>
        <v>Nersetech</v>
      </c>
      <c r="B38" s="25" t="n">
        <v>7</v>
      </c>
      <c r="C38" s="26" t="str">
        <f aca="false">IF(Firmalar!$I$7="","",Firmalar!$I$7+15*(B38-1))</f>
        <v/>
      </c>
      <c r="D38" s="21" t="n">
        <f aca="false">MIN(Firmalar!$G$7,Firmalar!$F$7-Firmalar!$G$7*(B38-1))</f>
        <v>15450</v>
      </c>
      <c r="E38" s="25" t="str">
        <f aca="false">Firmalar!$C$7</f>
        <v>EUR</v>
      </c>
      <c r="F38" s="21" t="n">
        <f aca="false">SUMIFS($D$6:D38,$A$6:A38,A38)</f>
        <v>108150</v>
      </c>
      <c r="G38" s="21" t="n">
        <f aca="false">SUMIFS(Ödemeler!$E$6:$E$305,Ödemeler!$C$6:$C$305,A38)</f>
        <v>0</v>
      </c>
      <c r="H38" s="25" t="str">
        <f aca="true">IF(G38&gt;=F38,"Ödendi",IF(C38="","Tarih yok",IF(C38&lt;TODAY(),"GECİKTİ","Bekliyor")))</f>
        <v>Tarih yok</v>
      </c>
    </row>
    <row r="39" customFormat="false" ht="15" hidden="false" customHeight="false" outlineLevel="0" collapsed="false">
      <c r="A39" s="18" t="str">
        <f aca="false">Firmalar!$A$7</f>
        <v>Nersetech</v>
      </c>
      <c r="B39" s="25" t="n">
        <v>8</v>
      </c>
      <c r="C39" s="26" t="str">
        <f aca="false">IF(Firmalar!$I$7="","",Firmalar!$I$7+15*(B39-1))</f>
        <v/>
      </c>
      <c r="D39" s="21" t="n">
        <f aca="false">MIN(Firmalar!$G$7,Firmalar!$F$7-Firmalar!$G$7*(B39-1))</f>
        <v>15450</v>
      </c>
      <c r="E39" s="25" t="str">
        <f aca="false">Firmalar!$C$7</f>
        <v>EUR</v>
      </c>
      <c r="F39" s="21" t="n">
        <f aca="false">SUMIFS($D$6:D39,$A$6:A39,A39)</f>
        <v>123600</v>
      </c>
      <c r="G39" s="21" t="n">
        <f aca="false">SUMIFS(Ödemeler!$E$6:$E$305,Ödemeler!$C$6:$C$305,A39)</f>
        <v>0</v>
      </c>
      <c r="H39" s="25" t="str">
        <f aca="true">IF(G39&gt;=F39,"Ödendi",IF(C39="","Tarih yok",IF(C39&lt;TODAY(),"GECİKTİ","Bekliyor")))</f>
        <v>Tarih yok</v>
      </c>
    </row>
    <row r="40" customFormat="false" ht="15" hidden="false" customHeight="false" outlineLevel="0" collapsed="false">
      <c r="A40" s="18" t="str">
        <f aca="false">Firmalar!$A$7</f>
        <v>Nersetech</v>
      </c>
      <c r="B40" s="25" t="n">
        <v>9</v>
      </c>
      <c r="C40" s="26" t="str">
        <f aca="false">IF(Firmalar!$I$7="","",Firmalar!$I$7+15*(B40-1))</f>
        <v/>
      </c>
      <c r="D40" s="21" t="n">
        <f aca="false">MIN(Firmalar!$G$7,Firmalar!$F$7-Firmalar!$G$7*(B40-1))</f>
        <v>15450</v>
      </c>
      <c r="E40" s="25" t="str">
        <f aca="false">Firmalar!$C$7</f>
        <v>EUR</v>
      </c>
      <c r="F40" s="21" t="n">
        <f aca="false">SUMIFS($D$6:D40,$A$6:A40,A40)</f>
        <v>139050</v>
      </c>
      <c r="G40" s="21" t="n">
        <f aca="false">SUMIFS(Ödemeler!$E$6:$E$305,Ödemeler!$C$6:$C$305,A40)</f>
        <v>0</v>
      </c>
      <c r="H40" s="25" t="str">
        <f aca="true">IF(G40&gt;=F40,"Ödendi",IF(C40="","Tarih yok",IF(C40&lt;TODAY(),"GECİKTİ","Bekliyor")))</f>
        <v>Tarih yok</v>
      </c>
    </row>
    <row r="41" customFormat="false" ht="15" hidden="false" customHeight="false" outlineLevel="0" collapsed="false">
      <c r="A41" s="18" t="str">
        <f aca="false">Firmalar!$A$7</f>
        <v>Nersetech</v>
      </c>
      <c r="B41" s="25" t="n">
        <v>10</v>
      </c>
      <c r="C41" s="26" t="str">
        <f aca="false">IF(Firmalar!$I$7="","",Firmalar!$I$7+15*(B41-1))</f>
        <v/>
      </c>
      <c r="D41" s="21" t="n">
        <f aca="false">MIN(Firmalar!$G$7,Firmalar!$F$7-Firmalar!$G$7*(B41-1))</f>
        <v>15450</v>
      </c>
      <c r="E41" s="25" t="str">
        <f aca="false">Firmalar!$C$7</f>
        <v>EUR</v>
      </c>
      <c r="F41" s="21" t="n">
        <f aca="false">SUMIFS($D$6:D41,$A$6:A41,A41)</f>
        <v>154500</v>
      </c>
      <c r="G41" s="21" t="n">
        <f aca="false">SUMIFS(Ödemeler!$E$6:$E$305,Ödemeler!$C$6:$C$305,A41)</f>
        <v>0</v>
      </c>
      <c r="H41" s="25" t="str">
        <f aca="true">IF(G41&gt;=F41,"Ödendi",IF(C41="","Tarih yok",IF(C41&lt;TODAY(),"GECİKTİ","Bekliyor")))</f>
        <v>Tarih yok</v>
      </c>
    </row>
    <row r="42" customFormat="false" ht="15" hidden="false" customHeight="false" outlineLevel="0" collapsed="false">
      <c r="A42" s="27" t="str">
        <f aca="false">Firmalar!$A$7</f>
        <v>Nersetech</v>
      </c>
      <c r="B42" s="27" t="s">
        <v>47</v>
      </c>
      <c r="C42" s="27" t="s">
        <v>48</v>
      </c>
      <c r="D42" s="28" t="n">
        <f aca="false">Firmalar!$D$7-Firmalar!$F$7</f>
        <v>103000</v>
      </c>
      <c r="E42" s="27" t="str">
        <f aca="false">Firmalar!$C$7</f>
        <v>EUR</v>
      </c>
      <c r="F42" s="28" t="n">
        <f aca="false">Firmalar!$D$7</f>
        <v>257500</v>
      </c>
      <c r="G42" s="28" t="n">
        <f aca="false">SUMIFS(Ödemeler!$E$6:$E$305,Ödemeler!$C$6:$C$305,A42)</f>
        <v>0</v>
      </c>
      <c r="H42" s="27" t="str">
        <f aca="false">"%40 – "&amp;Firmalar!$H$7&amp;" eşit taksit: "&amp;TEXT(D42/Firmalar!$H$7,"#,##0")&amp;" "&amp;E42</f>
        <v>%40 – 2 eşit taksit: 51,500 EUR</v>
      </c>
    </row>
  </sheetData>
  <conditionalFormatting sqref="H6:H42">
    <cfRule type="cellIs" priority="2" operator="equal" aboveAverage="0" equalAverage="0" bottom="0" percent="0" rank="0" text="" dxfId="0">
      <formula>"GECİKTİ"</formula>
    </cfRule>
    <cfRule type="cellIs" priority="3" operator="equal" aboveAverage="0" equalAverage="0" bottom="0" percent="0" rank="0" text="" dxfId="2">
      <formula>"Ödendi"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2" min="11" style="0" width="11"/>
    <col collapsed="false" customWidth="true" hidden="false" outlineLevel="0" max="13" min="13" style="0" width="16"/>
    <col collapsed="false" customWidth="true" hidden="false" outlineLevel="0" max="14" min="14" style="0" width="30"/>
  </cols>
  <sheetData>
    <row r="1" customFormat="false" ht="17.35" hidden="false" customHeight="false" outlineLevel="0" collapsed="false">
      <c r="A1" s="17" t="s">
        <v>49</v>
      </c>
    </row>
    <row r="2" customFormat="false" ht="15" hidden="false" customHeight="false" outlineLevel="0" collapsed="false">
      <c r="A2" s="2" t="s">
        <v>50</v>
      </c>
    </row>
    <row r="3" customFormat="false" ht="15" hidden="false" customHeight="false" outlineLevel="0" collapsed="false">
      <c r="A3" s="2" t="s">
        <v>51</v>
      </c>
    </row>
    <row r="5" customFormat="false" ht="31.5" hidden="false" customHeight="true" outlineLevel="0" collapsed="false">
      <c r="A5" s="3" t="s">
        <v>52</v>
      </c>
      <c r="B5" s="3" t="s">
        <v>53</v>
      </c>
      <c r="C5" s="3" t="s">
        <v>1</v>
      </c>
      <c r="D5" s="3" t="s">
        <v>2</v>
      </c>
      <c r="E5" s="3" t="s">
        <v>54</v>
      </c>
      <c r="F5" s="3" t="s">
        <v>55</v>
      </c>
      <c r="G5" s="3" t="s">
        <v>41</v>
      </c>
      <c r="H5" s="3" t="s">
        <v>56</v>
      </c>
      <c r="I5" s="3" t="s">
        <v>57</v>
      </c>
      <c r="J5" s="3" t="s">
        <v>58</v>
      </c>
      <c r="K5" s="3" t="s">
        <v>59</v>
      </c>
      <c r="L5" s="3" t="s">
        <v>60</v>
      </c>
      <c r="M5" s="3" t="s">
        <v>61</v>
      </c>
      <c r="N5" s="3" t="s">
        <v>62</v>
      </c>
    </row>
    <row r="6" customFormat="false" ht="15" hidden="false" customHeight="false" outlineLevel="0" collapsed="false">
      <c r="A6" s="25" t="str">
        <f aca="false">IF(C6="","",ROW()-5)</f>
        <v/>
      </c>
      <c r="B6" s="35"/>
      <c r="C6" s="36"/>
      <c r="D6" s="25" t="str">
        <f aca="false">IF(C6="","",INDEX(Firmalar!$C$5:$C$7,MATCH(C6,Firmalar!$A$5:$A$7,0)))</f>
        <v/>
      </c>
      <c r="E6" s="37"/>
      <c r="F6" s="36"/>
      <c r="G6" s="36"/>
      <c r="H6" s="36"/>
      <c r="I6" s="36"/>
      <c r="J6" s="36"/>
      <c r="K6" s="36"/>
      <c r="L6" s="38"/>
      <c r="M6" s="21" t="str">
        <f aca="false">IF(OR(E6="",L6=""),"",E6*L6)</f>
        <v/>
      </c>
      <c r="N6" s="36"/>
    </row>
    <row r="7" customFormat="false" ht="15" hidden="false" customHeight="false" outlineLevel="0" collapsed="false">
      <c r="A7" s="25" t="str">
        <f aca="false">IF(C7="","",ROW()-5)</f>
        <v/>
      </c>
      <c r="B7" s="35"/>
      <c r="C7" s="36"/>
      <c r="D7" s="25" t="str">
        <f aca="false">IF(C7="","",INDEX(Firmalar!$C$5:$C$7,MATCH(C7,Firmalar!$A$5:$A$7,0)))</f>
        <v/>
      </c>
      <c r="E7" s="37"/>
      <c r="F7" s="36"/>
      <c r="G7" s="36"/>
      <c r="H7" s="36"/>
      <c r="I7" s="36"/>
      <c r="J7" s="36"/>
      <c r="K7" s="36"/>
      <c r="L7" s="38"/>
      <c r="M7" s="21" t="str">
        <f aca="false">IF(OR(E7="",L7=""),"",E7*L7)</f>
        <v/>
      </c>
      <c r="N7" s="36"/>
    </row>
    <row r="8" customFormat="false" ht="15" hidden="false" customHeight="false" outlineLevel="0" collapsed="false">
      <c r="A8" s="25" t="str">
        <f aca="false">IF(C8="","",ROW()-5)</f>
        <v/>
      </c>
      <c r="B8" s="35"/>
      <c r="C8" s="36"/>
      <c r="D8" s="25" t="str">
        <f aca="false">IF(C8="","",INDEX(Firmalar!$C$5:$C$7,MATCH(C8,Firmalar!$A$5:$A$7,0)))</f>
        <v/>
      </c>
      <c r="E8" s="37"/>
      <c r="F8" s="36"/>
      <c r="G8" s="36"/>
      <c r="H8" s="36"/>
      <c r="I8" s="36"/>
      <c r="J8" s="36"/>
      <c r="K8" s="36"/>
      <c r="L8" s="38"/>
      <c r="M8" s="21" t="str">
        <f aca="false">IF(OR(E8="",L8=""),"",E8*L8)</f>
        <v/>
      </c>
      <c r="N8" s="36"/>
    </row>
    <row r="9" customFormat="false" ht="15" hidden="false" customHeight="false" outlineLevel="0" collapsed="false">
      <c r="A9" s="25" t="str">
        <f aca="false">IF(C9="","",ROW()-5)</f>
        <v/>
      </c>
      <c r="B9" s="35"/>
      <c r="C9" s="36"/>
      <c r="D9" s="25" t="str">
        <f aca="false">IF(C9="","",INDEX(Firmalar!$C$5:$C$7,MATCH(C9,Firmalar!$A$5:$A$7,0)))</f>
        <v/>
      </c>
      <c r="E9" s="37"/>
      <c r="F9" s="36"/>
      <c r="G9" s="36"/>
      <c r="H9" s="36"/>
      <c r="I9" s="36"/>
      <c r="J9" s="36"/>
      <c r="K9" s="36"/>
      <c r="L9" s="38"/>
      <c r="M9" s="21" t="str">
        <f aca="false">IF(OR(E9="",L9=""),"",E9*L9)</f>
        <v/>
      </c>
      <c r="N9" s="36"/>
    </row>
    <row r="10" customFormat="false" ht="15" hidden="false" customHeight="false" outlineLevel="0" collapsed="false">
      <c r="A10" s="25" t="str">
        <f aca="false">IF(C10="","",ROW()-5)</f>
        <v/>
      </c>
      <c r="B10" s="35"/>
      <c r="C10" s="36"/>
      <c r="D10" s="25" t="str">
        <f aca="false">IF(C10="","",INDEX(Firmalar!$C$5:$C$7,MATCH(C10,Firmalar!$A$5:$A$7,0)))</f>
        <v/>
      </c>
      <c r="E10" s="37"/>
      <c r="F10" s="36"/>
      <c r="G10" s="36"/>
      <c r="H10" s="36"/>
      <c r="I10" s="36"/>
      <c r="J10" s="36"/>
      <c r="K10" s="36"/>
      <c r="L10" s="38"/>
      <c r="M10" s="21" t="str">
        <f aca="false">IF(OR(E10="",L10=""),"",E10*L10)</f>
        <v/>
      </c>
      <c r="N10" s="36"/>
    </row>
    <row r="11" customFormat="false" ht="15" hidden="false" customHeight="false" outlineLevel="0" collapsed="false">
      <c r="A11" s="25" t="str">
        <f aca="false">IF(C11="","",ROW()-5)</f>
        <v/>
      </c>
      <c r="B11" s="35"/>
      <c r="C11" s="36"/>
      <c r="D11" s="25" t="str">
        <f aca="false">IF(C11="","",INDEX(Firmalar!$C$5:$C$7,MATCH(C11,Firmalar!$A$5:$A$7,0)))</f>
        <v/>
      </c>
      <c r="E11" s="37"/>
      <c r="F11" s="36"/>
      <c r="G11" s="36"/>
      <c r="H11" s="36"/>
      <c r="I11" s="36"/>
      <c r="J11" s="36"/>
      <c r="K11" s="36"/>
      <c r="L11" s="38"/>
      <c r="M11" s="21" t="str">
        <f aca="false">IF(OR(E11="",L11=""),"",E11*L11)</f>
        <v/>
      </c>
      <c r="N11" s="36"/>
    </row>
    <row r="12" customFormat="false" ht="15" hidden="false" customHeight="false" outlineLevel="0" collapsed="false">
      <c r="A12" s="25" t="str">
        <f aca="false">IF(C12="","",ROW()-5)</f>
        <v/>
      </c>
      <c r="B12" s="35"/>
      <c r="C12" s="36"/>
      <c r="D12" s="25" t="str">
        <f aca="false">IF(C12="","",INDEX(Firmalar!$C$5:$C$7,MATCH(C12,Firmalar!$A$5:$A$7,0)))</f>
        <v/>
      </c>
      <c r="E12" s="37"/>
      <c r="F12" s="36"/>
      <c r="G12" s="36"/>
      <c r="H12" s="36"/>
      <c r="I12" s="36"/>
      <c r="J12" s="36"/>
      <c r="K12" s="36"/>
      <c r="L12" s="38"/>
      <c r="M12" s="21" t="str">
        <f aca="false">IF(OR(E12="",L12=""),"",E12*L12)</f>
        <v/>
      </c>
      <c r="N12" s="36"/>
    </row>
    <row r="13" customFormat="false" ht="15" hidden="false" customHeight="false" outlineLevel="0" collapsed="false">
      <c r="A13" s="25" t="str">
        <f aca="false">IF(C13="","",ROW()-5)</f>
        <v/>
      </c>
      <c r="B13" s="35"/>
      <c r="C13" s="36"/>
      <c r="D13" s="25" t="str">
        <f aca="false">IF(C13="","",INDEX(Firmalar!$C$5:$C$7,MATCH(C13,Firmalar!$A$5:$A$7,0)))</f>
        <v/>
      </c>
      <c r="E13" s="37"/>
      <c r="F13" s="36"/>
      <c r="G13" s="36"/>
      <c r="H13" s="36"/>
      <c r="I13" s="36"/>
      <c r="J13" s="36"/>
      <c r="K13" s="36"/>
      <c r="L13" s="38"/>
      <c r="M13" s="21" t="str">
        <f aca="false">IF(OR(E13="",L13=""),"",E13*L13)</f>
        <v/>
      </c>
      <c r="N13" s="36"/>
    </row>
    <row r="14" customFormat="false" ht="15" hidden="false" customHeight="false" outlineLevel="0" collapsed="false">
      <c r="A14" s="25" t="str">
        <f aca="false">IF(C14="","",ROW()-5)</f>
        <v/>
      </c>
      <c r="B14" s="35"/>
      <c r="C14" s="36"/>
      <c r="D14" s="25" t="str">
        <f aca="false">IF(C14="","",INDEX(Firmalar!$C$5:$C$7,MATCH(C14,Firmalar!$A$5:$A$7,0)))</f>
        <v/>
      </c>
      <c r="E14" s="37"/>
      <c r="F14" s="36"/>
      <c r="G14" s="36"/>
      <c r="H14" s="36"/>
      <c r="I14" s="36"/>
      <c r="J14" s="36"/>
      <c r="K14" s="36"/>
      <c r="L14" s="38"/>
      <c r="M14" s="21" t="str">
        <f aca="false">IF(OR(E14="",L14=""),"",E14*L14)</f>
        <v/>
      </c>
      <c r="N14" s="36"/>
    </row>
    <row r="15" customFormat="false" ht="15" hidden="false" customHeight="false" outlineLevel="0" collapsed="false">
      <c r="A15" s="25" t="str">
        <f aca="false">IF(C15="","",ROW()-5)</f>
        <v/>
      </c>
      <c r="B15" s="35"/>
      <c r="C15" s="36"/>
      <c r="D15" s="25" t="str">
        <f aca="false">IF(C15="","",INDEX(Firmalar!$C$5:$C$7,MATCH(C15,Firmalar!$A$5:$A$7,0)))</f>
        <v/>
      </c>
      <c r="E15" s="37"/>
      <c r="F15" s="36"/>
      <c r="G15" s="36"/>
      <c r="H15" s="36"/>
      <c r="I15" s="36"/>
      <c r="J15" s="36"/>
      <c r="K15" s="36"/>
      <c r="L15" s="38"/>
      <c r="M15" s="21" t="str">
        <f aca="false">IF(OR(E15="",L15=""),"",E15*L15)</f>
        <v/>
      </c>
      <c r="N15" s="36"/>
    </row>
    <row r="16" customFormat="false" ht="15" hidden="false" customHeight="false" outlineLevel="0" collapsed="false">
      <c r="A16" s="25" t="str">
        <f aca="false">IF(C16="","",ROW()-5)</f>
        <v/>
      </c>
      <c r="B16" s="35"/>
      <c r="C16" s="36"/>
      <c r="D16" s="25" t="str">
        <f aca="false">IF(C16="","",INDEX(Firmalar!$C$5:$C$7,MATCH(C16,Firmalar!$A$5:$A$7,0)))</f>
        <v/>
      </c>
      <c r="E16" s="37"/>
      <c r="F16" s="36"/>
      <c r="G16" s="36"/>
      <c r="H16" s="36"/>
      <c r="I16" s="36"/>
      <c r="J16" s="36"/>
      <c r="K16" s="36"/>
      <c r="L16" s="38"/>
      <c r="M16" s="21" t="str">
        <f aca="false">IF(OR(E16="",L16=""),"",E16*L16)</f>
        <v/>
      </c>
      <c r="N16" s="36"/>
    </row>
    <row r="17" customFormat="false" ht="15" hidden="false" customHeight="false" outlineLevel="0" collapsed="false">
      <c r="A17" s="25" t="str">
        <f aca="false">IF(C17="","",ROW()-5)</f>
        <v/>
      </c>
      <c r="B17" s="35"/>
      <c r="C17" s="36"/>
      <c r="D17" s="25" t="str">
        <f aca="false">IF(C17="","",INDEX(Firmalar!$C$5:$C$7,MATCH(C17,Firmalar!$A$5:$A$7,0)))</f>
        <v/>
      </c>
      <c r="E17" s="37"/>
      <c r="F17" s="36"/>
      <c r="G17" s="36"/>
      <c r="H17" s="36"/>
      <c r="I17" s="36"/>
      <c r="J17" s="36"/>
      <c r="K17" s="36"/>
      <c r="L17" s="38"/>
      <c r="M17" s="21" t="str">
        <f aca="false">IF(OR(E17="",L17=""),"",E17*L17)</f>
        <v/>
      </c>
      <c r="N17" s="36"/>
    </row>
    <row r="18" customFormat="false" ht="15" hidden="false" customHeight="false" outlineLevel="0" collapsed="false">
      <c r="A18" s="25" t="str">
        <f aca="false">IF(C18="","",ROW()-5)</f>
        <v/>
      </c>
      <c r="B18" s="35"/>
      <c r="C18" s="36"/>
      <c r="D18" s="25" t="str">
        <f aca="false">IF(C18="","",INDEX(Firmalar!$C$5:$C$7,MATCH(C18,Firmalar!$A$5:$A$7,0)))</f>
        <v/>
      </c>
      <c r="E18" s="37"/>
      <c r="F18" s="36"/>
      <c r="G18" s="36"/>
      <c r="H18" s="36"/>
      <c r="I18" s="36"/>
      <c r="J18" s="36"/>
      <c r="K18" s="36"/>
      <c r="L18" s="38"/>
      <c r="M18" s="21" t="str">
        <f aca="false">IF(OR(E18="",L18=""),"",E18*L18)</f>
        <v/>
      </c>
      <c r="N18" s="36"/>
    </row>
    <row r="19" customFormat="false" ht="15" hidden="false" customHeight="false" outlineLevel="0" collapsed="false">
      <c r="A19" s="25" t="str">
        <f aca="false">IF(C19="","",ROW()-5)</f>
        <v/>
      </c>
      <c r="B19" s="35"/>
      <c r="C19" s="36"/>
      <c r="D19" s="25" t="str">
        <f aca="false">IF(C19="","",INDEX(Firmalar!$C$5:$C$7,MATCH(C19,Firmalar!$A$5:$A$7,0)))</f>
        <v/>
      </c>
      <c r="E19" s="37"/>
      <c r="F19" s="36"/>
      <c r="G19" s="36"/>
      <c r="H19" s="36"/>
      <c r="I19" s="36"/>
      <c r="J19" s="36"/>
      <c r="K19" s="36"/>
      <c r="L19" s="38"/>
      <c r="M19" s="21" t="str">
        <f aca="false">IF(OR(E19="",L19=""),"",E19*L19)</f>
        <v/>
      </c>
      <c r="N19" s="36"/>
    </row>
    <row r="20" customFormat="false" ht="15" hidden="false" customHeight="false" outlineLevel="0" collapsed="false">
      <c r="A20" s="25" t="str">
        <f aca="false">IF(C20="","",ROW()-5)</f>
        <v/>
      </c>
      <c r="B20" s="35"/>
      <c r="C20" s="36"/>
      <c r="D20" s="25" t="str">
        <f aca="false">IF(C20="","",INDEX(Firmalar!$C$5:$C$7,MATCH(C20,Firmalar!$A$5:$A$7,0)))</f>
        <v/>
      </c>
      <c r="E20" s="37"/>
      <c r="F20" s="36"/>
      <c r="G20" s="36"/>
      <c r="H20" s="36"/>
      <c r="I20" s="36"/>
      <c r="J20" s="36"/>
      <c r="K20" s="36"/>
      <c r="L20" s="38"/>
      <c r="M20" s="21" t="str">
        <f aca="false">IF(OR(E20="",L20=""),"",E20*L20)</f>
        <v/>
      </c>
      <c r="N20" s="36"/>
    </row>
    <row r="21" customFormat="false" ht="15" hidden="false" customHeight="false" outlineLevel="0" collapsed="false">
      <c r="A21" s="25" t="str">
        <f aca="false">IF(C21="","",ROW()-5)</f>
        <v/>
      </c>
      <c r="B21" s="35"/>
      <c r="C21" s="36"/>
      <c r="D21" s="25" t="str">
        <f aca="false">IF(C21="","",INDEX(Firmalar!$C$5:$C$7,MATCH(C21,Firmalar!$A$5:$A$7,0)))</f>
        <v/>
      </c>
      <c r="E21" s="37"/>
      <c r="F21" s="36"/>
      <c r="G21" s="36"/>
      <c r="H21" s="36"/>
      <c r="I21" s="36"/>
      <c r="J21" s="36"/>
      <c r="K21" s="36"/>
      <c r="L21" s="38"/>
      <c r="M21" s="21" t="str">
        <f aca="false">IF(OR(E21="",L21=""),"",E21*L21)</f>
        <v/>
      </c>
      <c r="N21" s="36"/>
    </row>
    <row r="22" customFormat="false" ht="15" hidden="false" customHeight="false" outlineLevel="0" collapsed="false">
      <c r="A22" s="25" t="str">
        <f aca="false">IF(C22="","",ROW()-5)</f>
        <v/>
      </c>
      <c r="B22" s="35"/>
      <c r="C22" s="36"/>
      <c r="D22" s="25" t="str">
        <f aca="false">IF(C22="","",INDEX(Firmalar!$C$5:$C$7,MATCH(C22,Firmalar!$A$5:$A$7,0)))</f>
        <v/>
      </c>
      <c r="E22" s="37"/>
      <c r="F22" s="36"/>
      <c r="G22" s="36"/>
      <c r="H22" s="36"/>
      <c r="I22" s="36"/>
      <c r="J22" s="36"/>
      <c r="K22" s="36"/>
      <c r="L22" s="38"/>
      <c r="M22" s="21" t="str">
        <f aca="false">IF(OR(E22="",L22=""),"",E22*L22)</f>
        <v/>
      </c>
      <c r="N22" s="36"/>
    </row>
    <row r="23" customFormat="false" ht="15" hidden="false" customHeight="false" outlineLevel="0" collapsed="false">
      <c r="A23" s="25" t="str">
        <f aca="false">IF(C23="","",ROW()-5)</f>
        <v/>
      </c>
      <c r="B23" s="35"/>
      <c r="C23" s="36"/>
      <c r="D23" s="25" t="str">
        <f aca="false">IF(C23="","",INDEX(Firmalar!$C$5:$C$7,MATCH(C23,Firmalar!$A$5:$A$7,0)))</f>
        <v/>
      </c>
      <c r="E23" s="37"/>
      <c r="F23" s="36"/>
      <c r="G23" s="36"/>
      <c r="H23" s="36"/>
      <c r="I23" s="36"/>
      <c r="J23" s="36"/>
      <c r="K23" s="36"/>
      <c r="L23" s="38"/>
      <c r="M23" s="21" t="str">
        <f aca="false">IF(OR(E23="",L23=""),"",E23*L23)</f>
        <v/>
      </c>
      <c r="N23" s="36"/>
    </row>
    <row r="24" customFormat="false" ht="15" hidden="false" customHeight="false" outlineLevel="0" collapsed="false">
      <c r="A24" s="25" t="str">
        <f aca="false">IF(C24="","",ROW()-5)</f>
        <v/>
      </c>
      <c r="B24" s="35"/>
      <c r="C24" s="36"/>
      <c r="D24" s="25" t="str">
        <f aca="false">IF(C24="","",INDEX(Firmalar!$C$5:$C$7,MATCH(C24,Firmalar!$A$5:$A$7,0)))</f>
        <v/>
      </c>
      <c r="E24" s="37"/>
      <c r="F24" s="36"/>
      <c r="G24" s="36"/>
      <c r="H24" s="36"/>
      <c r="I24" s="36"/>
      <c r="J24" s="36"/>
      <c r="K24" s="36"/>
      <c r="L24" s="38"/>
      <c r="M24" s="21" t="str">
        <f aca="false">IF(OR(E24="",L24=""),"",E24*L24)</f>
        <v/>
      </c>
      <c r="N24" s="36"/>
    </row>
    <row r="25" customFormat="false" ht="15" hidden="false" customHeight="false" outlineLevel="0" collapsed="false">
      <c r="A25" s="25" t="str">
        <f aca="false">IF(C25="","",ROW()-5)</f>
        <v/>
      </c>
      <c r="B25" s="35"/>
      <c r="C25" s="36"/>
      <c r="D25" s="25" t="str">
        <f aca="false">IF(C25="","",INDEX(Firmalar!$C$5:$C$7,MATCH(C25,Firmalar!$A$5:$A$7,0)))</f>
        <v/>
      </c>
      <c r="E25" s="37"/>
      <c r="F25" s="36"/>
      <c r="G25" s="36"/>
      <c r="H25" s="36"/>
      <c r="I25" s="36"/>
      <c r="J25" s="36"/>
      <c r="K25" s="36"/>
      <c r="L25" s="38"/>
      <c r="M25" s="21" t="str">
        <f aca="false">IF(OR(E25="",L25=""),"",E25*L25)</f>
        <v/>
      </c>
      <c r="N25" s="36"/>
    </row>
    <row r="26" customFormat="false" ht="15" hidden="false" customHeight="false" outlineLevel="0" collapsed="false">
      <c r="A26" s="25" t="str">
        <f aca="false">IF(C26="","",ROW()-5)</f>
        <v/>
      </c>
      <c r="B26" s="35"/>
      <c r="C26" s="36"/>
      <c r="D26" s="25" t="str">
        <f aca="false">IF(C26="","",INDEX(Firmalar!$C$5:$C$7,MATCH(C26,Firmalar!$A$5:$A$7,0)))</f>
        <v/>
      </c>
      <c r="E26" s="37"/>
      <c r="F26" s="36"/>
      <c r="G26" s="36"/>
      <c r="H26" s="36"/>
      <c r="I26" s="36"/>
      <c r="J26" s="36"/>
      <c r="K26" s="36"/>
      <c r="L26" s="38"/>
      <c r="M26" s="21" t="str">
        <f aca="false">IF(OR(E26="",L26=""),"",E26*L26)</f>
        <v/>
      </c>
      <c r="N26" s="36"/>
    </row>
    <row r="27" customFormat="false" ht="15" hidden="false" customHeight="false" outlineLevel="0" collapsed="false">
      <c r="A27" s="25" t="str">
        <f aca="false">IF(C27="","",ROW()-5)</f>
        <v/>
      </c>
      <c r="B27" s="35"/>
      <c r="C27" s="36"/>
      <c r="D27" s="25" t="str">
        <f aca="false">IF(C27="","",INDEX(Firmalar!$C$5:$C$7,MATCH(C27,Firmalar!$A$5:$A$7,0)))</f>
        <v/>
      </c>
      <c r="E27" s="37"/>
      <c r="F27" s="36"/>
      <c r="G27" s="36"/>
      <c r="H27" s="36"/>
      <c r="I27" s="36"/>
      <c r="J27" s="36"/>
      <c r="K27" s="36"/>
      <c r="L27" s="38"/>
      <c r="M27" s="21" t="str">
        <f aca="false">IF(OR(E27="",L27=""),"",E27*L27)</f>
        <v/>
      </c>
      <c r="N27" s="36"/>
    </row>
    <row r="28" customFormat="false" ht="15" hidden="false" customHeight="false" outlineLevel="0" collapsed="false">
      <c r="A28" s="25" t="str">
        <f aca="false">IF(C28="","",ROW()-5)</f>
        <v/>
      </c>
      <c r="B28" s="35"/>
      <c r="C28" s="36"/>
      <c r="D28" s="25" t="str">
        <f aca="false">IF(C28="","",INDEX(Firmalar!$C$5:$C$7,MATCH(C28,Firmalar!$A$5:$A$7,0)))</f>
        <v/>
      </c>
      <c r="E28" s="37"/>
      <c r="F28" s="36"/>
      <c r="G28" s="36"/>
      <c r="H28" s="36"/>
      <c r="I28" s="36"/>
      <c r="J28" s="36"/>
      <c r="K28" s="36"/>
      <c r="L28" s="38"/>
      <c r="M28" s="21" t="str">
        <f aca="false">IF(OR(E28="",L28=""),"",E28*L28)</f>
        <v/>
      </c>
      <c r="N28" s="36"/>
    </row>
    <row r="29" customFormat="false" ht="15" hidden="false" customHeight="false" outlineLevel="0" collapsed="false">
      <c r="A29" s="25" t="str">
        <f aca="false">IF(C29="","",ROW()-5)</f>
        <v/>
      </c>
      <c r="B29" s="35"/>
      <c r="C29" s="36"/>
      <c r="D29" s="25" t="str">
        <f aca="false">IF(C29="","",INDEX(Firmalar!$C$5:$C$7,MATCH(C29,Firmalar!$A$5:$A$7,0)))</f>
        <v/>
      </c>
      <c r="E29" s="37"/>
      <c r="F29" s="36"/>
      <c r="G29" s="36"/>
      <c r="H29" s="36"/>
      <c r="I29" s="36"/>
      <c r="J29" s="36"/>
      <c r="K29" s="36"/>
      <c r="L29" s="38"/>
      <c r="M29" s="21" t="str">
        <f aca="false">IF(OR(E29="",L29=""),"",E29*L29)</f>
        <v/>
      </c>
      <c r="N29" s="36"/>
    </row>
    <row r="30" customFormat="false" ht="15" hidden="false" customHeight="false" outlineLevel="0" collapsed="false">
      <c r="A30" s="25" t="str">
        <f aca="false">IF(C30="","",ROW()-5)</f>
        <v/>
      </c>
      <c r="B30" s="35"/>
      <c r="C30" s="36"/>
      <c r="D30" s="25" t="str">
        <f aca="false">IF(C30="","",INDEX(Firmalar!$C$5:$C$7,MATCH(C30,Firmalar!$A$5:$A$7,0)))</f>
        <v/>
      </c>
      <c r="E30" s="37"/>
      <c r="F30" s="36"/>
      <c r="G30" s="36"/>
      <c r="H30" s="36"/>
      <c r="I30" s="36"/>
      <c r="J30" s="36"/>
      <c r="K30" s="36"/>
      <c r="L30" s="38"/>
      <c r="M30" s="21" t="str">
        <f aca="false">IF(OR(E30="",L30=""),"",E30*L30)</f>
        <v/>
      </c>
      <c r="N30" s="36"/>
    </row>
    <row r="31" customFormat="false" ht="15" hidden="false" customHeight="false" outlineLevel="0" collapsed="false">
      <c r="A31" s="25" t="str">
        <f aca="false">IF(C31="","",ROW()-5)</f>
        <v/>
      </c>
      <c r="B31" s="35"/>
      <c r="C31" s="36"/>
      <c r="D31" s="25" t="str">
        <f aca="false">IF(C31="","",INDEX(Firmalar!$C$5:$C$7,MATCH(C31,Firmalar!$A$5:$A$7,0)))</f>
        <v/>
      </c>
      <c r="E31" s="37"/>
      <c r="F31" s="36"/>
      <c r="G31" s="36"/>
      <c r="H31" s="36"/>
      <c r="I31" s="36"/>
      <c r="J31" s="36"/>
      <c r="K31" s="36"/>
      <c r="L31" s="38"/>
      <c r="M31" s="21" t="str">
        <f aca="false">IF(OR(E31="",L31=""),"",E31*L31)</f>
        <v/>
      </c>
      <c r="N31" s="36"/>
    </row>
    <row r="32" customFormat="false" ht="15" hidden="false" customHeight="false" outlineLevel="0" collapsed="false">
      <c r="A32" s="25" t="str">
        <f aca="false">IF(C32="","",ROW()-5)</f>
        <v/>
      </c>
      <c r="B32" s="35"/>
      <c r="C32" s="36"/>
      <c r="D32" s="25" t="str">
        <f aca="false">IF(C32="","",INDEX(Firmalar!$C$5:$C$7,MATCH(C32,Firmalar!$A$5:$A$7,0)))</f>
        <v/>
      </c>
      <c r="E32" s="37"/>
      <c r="F32" s="36"/>
      <c r="G32" s="36"/>
      <c r="H32" s="36"/>
      <c r="I32" s="36"/>
      <c r="J32" s="36"/>
      <c r="K32" s="36"/>
      <c r="L32" s="38"/>
      <c r="M32" s="21" t="str">
        <f aca="false">IF(OR(E32="",L32=""),"",E32*L32)</f>
        <v/>
      </c>
      <c r="N32" s="36"/>
    </row>
    <row r="33" customFormat="false" ht="15" hidden="false" customHeight="false" outlineLevel="0" collapsed="false">
      <c r="A33" s="25" t="str">
        <f aca="false">IF(C33="","",ROW()-5)</f>
        <v/>
      </c>
      <c r="B33" s="35"/>
      <c r="C33" s="36"/>
      <c r="D33" s="25" t="str">
        <f aca="false">IF(C33="","",INDEX(Firmalar!$C$5:$C$7,MATCH(C33,Firmalar!$A$5:$A$7,0)))</f>
        <v/>
      </c>
      <c r="E33" s="37"/>
      <c r="F33" s="36"/>
      <c r="G33" s="36"/>
      <c r="H33" s="36"/>
      <c r="I33" s="36"/>
      <c r="J33" s="36"/>
      <c r="K33" s="36"/>
      <c r="L33" s="38"/>
      <c r="M33" s="21" t="str">
        <f aca="false">IF(OR(E33="",L33=""),"",E33*L33)</f>
        <v/>
      </c>
      <c r="N33" s="36"/>
    </row>
    <row r="34" customFormat="false" ht="15" hidden="false" customHeight="false" outlineLevel="0" collapsed="false">
      <c r="A34" s="25" t="str">
        <f aca="false">IF(C34="","",ROW()-5)</f>
        <v/>
      </c>
      <c r="B34" s="35"/>
      <c r="C34" s="36"/>
      <c r="D34" s="25" t="str">
        <f aca="false">IF(C34="","",INDEX(Firmalar!$C$5:$C$7,MATCH(C34,Firmalar!$A$5:$A$7,0)))</f>
        <v/>
      </c>
      <c r="E34" s="37"/>
      <c r="F34" s="36"/>
      <c r="G34" s="36"/>
      <c r="H34" s="36"/>
      <c r="I34" s="36"/>
      <c r="J34" s="36"/>
      <c r="K34" s="36"/>
      <c r="L34" s="38"/>
      <c r="M34" s="21" t="str">
        <f aca="false">IF(OR(E34="",L34=""),"",E34*L34)</f>
        <v/>
      </c>
      <c r="N34" s="36"/>
    </row>
    <row r="35" customFormat="false" ht="15" hidden="false" customHeight="false" outlineLevel="0" collapsed="false">
      <c r="A35" s="25" t="str">
        <f aca="false">IF(C35="","",ROW()-5)</f>
        <v/>
      </c>
      <c r="B35" s="35"/>
      <c r="C35" s="36"/>
      <c r="D35" s="25" t="str">
        <f aca="false">IF(C35="","",INDEX(Firmalar!$C$5:$C$7,MATCH(C35,Firmalar!$A$5:$A$7,0)))</f>
        <v/>
      </c>
      <c r="E35" s="37"/>
      <c r="F35" s="36"/>
      <c r="G35" s="36"/>
      <c r="H35" s="36"/>
      <c r="I35" s="36"/>
      <c r="J35" s="36"/>
      <c r="K35" s="36"/>
      <c r="L35" s="38"/>
      <c r="M35" s="21" t="str">
        <f aca="false">IF(OR(E35="",L35=""),"",E35*L35)</f>
        <v/>
      </c>
      <c r="N35" s="36"/>
    </row>
    <row r="36" customFormat="false" ht="15" hidden="false" customHeight="false" outlineLevel="0" collapsed="false">
      <c r="A36" s="25" t="str">
        <f aca="false">IF(C36="","",ROW()-5)</f>
        <v/>
      </c>
      <c r="B36" s="35"/>
      <c r="C36" s="36"/>
      <c r="D36" s="25" t="str">
        <f aca="false">IF(C36="","",INDEX(Firmalar!$C$5:$C$7,MATCH(C36,Firmalar!$A$5:$A$7,0)))</f>
        <v/>
      </c>
      <c r="E36" s="37"/>
      <c r="F36" s="36"/>
      <c r="G36" s="36"/>
      <c r="H36" s="36"/>
      <c r="I36" s="36"/>
      <c r="J36" s="36"/>
      <c r="K36" s="36"/>
      <c r="L36" s="38"/>
      <c r="M36" s="21" t="str">
        <f aca="false">IF(OR(E36="",L36=""),"",E36*L36)</f>
        <v/>
      </c>
      <c r="N36" s="36"/>
    </row>
    <row r="37" customFormat="false" ht="15" hidden="false" customHeight="false" outlineLevel="0" collapsed="false">
      <c r="A37" s="25" t="str">
        <f aca="false">IF(C37="","",ROW()-5)</f>
        <v/>
      </c>
      <c r="B37" s="35"/>
      <c r="C37" s="36"/>
      <c r="D37" s="25" t="str">
        <f aca="false">IF(C37="","",INDEX(Firmalar!$C$5:$C$7,MATCH(C37,Firmalar!$A$5:$A$7,0)))</f>
        <v/>
      </c>
      <c r="E37" s="37"/>
      <c r="F37" s="36"/>
      <c r="G37" s="36"/>
      <c r="H37" s="36"/>
      <c r="I37" s="36"/>
      <c r="J37" s="36"/>
      <c r="K37" s="36"/>
      <c r="L37" s="38"/>
      <c r="M37" s="21" t="str">
        <f aca="false">IF(OR(E37="",L37=""),"",E37*L37)</f>
        <v/>
      </c>
      <c r="N37" s="36"/>
    </row>
    <row r="38" customFormat="false" ht="15" hidden="false" customHeight="false" outlineLevel="0" collapsed="false">
      <c r="A38" s="25" t="str">
        <f aca="false">IF(C38="","",ROW()-5)</f>
        <v/>
      </c>
      <c r="B38" s="35"/>
      <c r="C38" s="36"/>
      <c r="D38" s="25" t="str">
        <f aca="false">IF(C38="","",INDEX(Firmalar!$C$5:$C$7,MATCH(C38,Firmalar!$A$5:$A$7,0)))</f>
        <v/>
      </c>
      <c r="E38" s="37"/>
      <c r="F38" s="36"/>
      <c r="G38" s="36"/>
      <c r="H38" s="36"/>
      <c r="I38" s="36"/>
      <c r="J38" s="36"/>
      <c r="K38" s="36"/>
      <c r="L38" s="38"/>
      <c r="M38" s="21" t="str">
        <f aca="false">IF(OR(E38="",L38=""),"",E38*L38)</f>
        <v/>
      </c>
      <c r="N38" s="36"/>
    </row>
    <row r="39" customFormat="false" ht="15" hidden="false" customHeight="false" outlineLevel="0" collapsed="false">
      <c r="A39" s="25" t="str">
        <f aca="false">IF(C39="","",ROW()-5)</f>
        <v/>
      </c>
      <c r="B39" s="35"/>
      <c r="C39" s="36"/>
      <c r="D39" s="25" t="str">
        <f aca="false">IF(C39="","",INDEX(Firmalar!$C$5:$C$7,MATCH(C39,Firmalar!$A$5:$A$7,0)))</f>
        <v/>
      </c>
      <c r="E39" s="37"/>
      <c r="F39" s="36"/>
      <c r="G39" s="36"/>
      <c r="H39" s="36"/>
      <c r="I39" s="36"/>
      <c r="J39" s="36"/>
      <c r="K39" s="36"/>
      <c r="L39" s="38"/>
      <c r="M39" s="21" t="str">
        <f aca="false">IF(OR(E39="",L39=""),"",E39*L39)</f>
        <v/>
      </c>
      <c r="N39" s="36"/>
    </row>
    <row r="40" customFormat="false" ht="15" hidden="false" customHeight="false" outlineLevel="0" collapsed="false">
      <c r="A40" s="25" t="str">
        <f aca="false">IF(C40="","",ROW()-5)</f>
        <v/>
      </c>
      <c r="B40" s="35"/>
      <c r="C40" s="36"/>
      <c r="D40" s="25" t="str">
        <f aca="false">IF(C40="","",INDEX(Firmalar!$C$5:$C$7,MATCH(C40,Firmalar!$A$5:$A$7,0)))</f>
        <v/>
      </c>
      <c r="E40" s="37"/>
      <c r="F40" s="36"/>
      <c r="G40" s="36"/>
      <c r="H40" s="36"/>
      <c r="I40" s="36"/>
      <c r="J40" s="36"/>
      <c r="K40" s="36"/>
      <c r="L40" s="38"/>
      <c r="M40" s="21" t="str">
        <f aca="false">IF(OR(E40="",L40=""),"",E40*L40)</f>
        <v/>
      </c>
      <c r="N40" s="36"/>
    </row>
    <row r="41" customFormat="false" ht="15" hidden="false" customHeight="false" outlineLevel="0" collapsed="false">
      <c r="A41" s="25" t="str">
        <f aca="false">IF(C41="","",ROW()-5)</f>
        <v/>
      </c>
      <c r="B41" s="35"/>
      <c r="C41" s="36"/>
      <c r="D41" s="25" t="str">
        <f aca="false">IF(C41="","",INDEX(Firmalar!$C$5:$C$7,MATCH(C41,Firmalar!$A$5:$A$7,0)))</f>
        <v/>
      </c>
      <c r="E41" s="37"/>
      <c r="F41" s="36"/>
      <c r="G41" s="36"/>
      <c r="H41" s="36"/>
      <c r="I41" s="36"/>
      <c r="J41" s="36"/>
      <c r="K41" s="36"/>
      <c r="L41" s="38"/>
      <c r="M41" s="21" t="str">
        <f aca="false">IF(OR(E41="",L41=""),"",E41*L41)</f>
        <v/>
      </c>
      <c r="N41" s="36"/>
    </row>
    <row r="42" customFormat="false" ht="15" hidden="false" customHeight="false" outlineLevel="0" collapsed="false">
      <c r="A42" s="25" t="str">
        <f aca="false">IF(C42="","",ROW()-5)</f>
        <v/>
      </c>
      <c r="B42" s="35"/>
      <c r="C42" s="36"/>
      <c r="D42" s="25" t="str">
        <f aca="false">IF(C42="","",INDEX(Firmalar!$C$5:$C$7,MATCH(C42,Firmalar!$A$5:$A$7,0)))</f>
        <v/>
      </c>
      <c r="E42" s="37"/>
      <c r="F42" s="36"/>
      <c r="G42" s="36"/>
      <c r="H42" s="36"/>
      <c r="I42" s="36"/>
      <c r="J42" s="36"/>
      <c r="K42" s="36"/>
      <c r="L42" s="38"/>
      <c r="M42" s="21" t="str">
        <f aca="false">IF(OR(E42="",L42=""),"",E42*L42)</f>
        <v/>
      </c>
      <c r="N42" s="36"/>
    </row>
    <row r="43" customFormat="false" ht="15" hidden="false" customHeight="false" outlineLevel="0" collapsed="false">
      <c r="A43" s="25" t="str">
        <f aca="false">IF(C43="","",ROW()-5)</f>
        <v/>
      </c>
      <c r="B43" s="35"/>
      <c r="C43" s="36"/>
      <c r="D43" s="25" t="str">
        <f aca="false">IF(C43="","",INDEX(Firmalar!$C$5:$C$7,MATCH(C43,Firmalar!$A$5:$A$7,0)))</f>
        <v/>
      </c>
      <c r="E43" s="37"/>
      <c r="F43" s="36"/>
      <c r="G43" s="36"/>
      <c r="H43" s="36"/>
      <c r="I43" s="36"/>
      <c r="J43" s="36"/>
      <c r="K43" s="36"/>
      <c r="L43" s="38"/>
      <c r="M43" s="21" t="str">
        <f aca="false">IF(OR(E43="",L43=""),"",E43*L43)</f>
        <v/>
      </c>
      <c r="N43" s="36"/>
    </row>
    <row r="44" customFormat="false" ht="15" hidden="false" customHeight="false" outlineLevel="0" collapsed="false">
      <c r="A44" s="25" t="str">
        <f aca="false">IF(C44="","",ROW()-5)</f>
        <v/>
      </c>
      <c r="B44" s="35"/>
      <c r="C44" s="36"/>
      <c r="D44" s="25" t="str">
        <f aca="false">IF(C44="","",INDEX(Firmalar!$C$5:$C$7,MATCH(C44,Firmalar!$A$5:$A$7,0)))</f>
        <v/>
      </c>
      <c r="E44" s="37"/>
      <c r="F44" s="36"/>
      <c r="G44" s="36"/>
      <c r="H44" s="36"/>
      <c r="I44" s="36"/>
      <c r="J44" s="36"/>
      <c r="K44" s="36"/>
      <c r="L44" s="38"/>
      <c r="M44" s="21" t="str">
        <f aca="false">IF(OR(E44="",L44=""),"",E44*L44)</f>
        <v/>
      </c>
      <c r="N44" s="36"/>
    </row>
    <row r="45" customFormat="false" ht="15" hidden="false" customHeight="false" outlineLevel="0" collapsed="false">
      <c r="A45" s="25" t="str">
        <f aca="false">IF(C45="","",ROW()-5)</f>
        <v/>
      </c>
      <c r="B45" s="35"/>
      <c r="C45" s="36"/>
      <c r="D45" s="25" t="str">
        <f aca="false">IF(C45="","",INDEX(Firmalar!$C$5:$C$7,MATCH(C45,Firmalar!$A$5:$A$7,0)))</f>
        <v/>
      </c>
      <c r="E45" s="37"/>
      <c r="F45" s="36"/>
      <c r="G45" s="36"/>
      <c r="H45" s="36"/>
      <c r="I45" s="36"/>
      <c r="J45" s="36"/>
      <c r="K45" s="36"/>
      <c r="L45" s="38"/>
      <c r="M45" s="21" t="str">
        <f aca="false">IF(OR(E45="",L45=""),"",E45*L45)</f>
        <v/>
      </c>
      <c r="N45" s="36"/>
    </row>
    <row r="46" customFormat="false" ht="15" hidden="false" customHeight="false" outlineLevel="0" collapsed="false">
      <c r="A46" s="25" t="str">
        <f aca="false">IF(C46="","",ROW()-5)</f>
        <v/>
      </c>
      <c r="B46" s="35"/>
      <c r="C46" s="36"/>
      <c r="D46" s="25" t="str">
        <f aca="false">IF(C46="","",INDEX(Firmalar!$C$5:$C$7,MATCH(C46,Firmalar!$A$5:$A$7,0)))</f>
        <v/>
      </c>
      <c r="E46" s="37"/>
      <c r="F46" s="36"/>
      <c r="G46" s="36"/>
      <c r="H46" s="36"/>
      <c r="I46" s="36"/>
      <c r="J46" s="36"/>
      <c r="K46" s="36"/>
      <c r="L46" s="38"/>
      <c r="M46" s="21" t="str">
        <f aca="false">IF(OR(E46="",L46=""),"",E46*L46)</f>
        <v/>
      </c>
      <c r="N46" s="36"/>
    </row>
    <row r="47" customFormat="false" ht="15" hidden="false" customHeight="false" outlineLevel="0" collapsed="false">
      <c r="A47" s="25" t="str">
        <f aca="false">IF(C47="","",ROW()-5)</f>
        <v/>
      </c>
      <c r="B47" s="35"/>
      <c r="C47" s="36"/>
      <c r="D47" s="25" t="str">
        <f aca="false">IF(C47="","",INDEX(Firmalar!$C$5:$C$7,MATCH(C47,Firmalar!$A$5:$A$7,0)))</f>
        <v/>
      </c>
      <c r="E47" s="37"/>
      <c r="F47" s="36"/>
      <c r="G47" s="36"/>
      <c r="H47" s="36"/>
      <c r="I47" s="36"/>
      <c r="J47" s="36"/>
      <c r="K47" s="36"/>
      <c r="L47" s="38"/>
      <c r="M47" s="21" t="str">
        <f aca="false">IF(OR(E47="",L47=""),"",E47*L47)</f>
        <v/>
      </c>
      <c r="N47" s="36"/>
    </row>
    <row r="48" customFormat="false" ht="15" hidden="false" customHeight="false" outlineLevel="0" collapsed="false">
      <c r="A48" s="25" t="str">
        <f aca="false">IF(C48="","",ROW()-5)</f>
        <v/>
      </c>
      <c r="B48" s="35"/>
      <c r="C48" s="36"/>
      <c r="D48" s="25" t="str">
        <f aca="false">IF(C48="","",INDEX(Firmalar!$C$5:$C$7,MATCH(C48,Firmalar!$A$5:$A$7,0)))</f>
        <v/>
      </c>
      <c r="E48" s="37"/>
      <c r="F48" s="36"/>
      <c r="G48" s="36"/>
      <c r="H48" s="36"/>
      <c r="I48" s="36"/>
      <c r="J48" s="36"/>
      <c r="K48" s="36"/>
      <c r="L48" s="38"/>
      <c r="M48" s="21" t="str">
        <f aca="false">IF(OR(E48="",L48=""),"",E48*L48)</f>
        <v/>
      </c>
      <c r="N48" s="36"/>
    </row>
    <row r="49" customFormat="false" ht="15" hidden="false" customHeight="false" outlineLevel="0" collapsed="false">
      <c r="A49" s="25" t="str">
        <f aca="false">IF(C49="","",ROW()-5)</f>
        <v/>
      </c>
      <c r="B49" s="35"/>
      <c r="C49" s="36"/>
      <c r="D49" s="25" t="str">
        <f aca="false">IF(C49="","",INDEX(Firmalar!$C$5:$C$7,MATCH(C49,Firmalar!$A$5:$A$7,0)))</f>
        <v/>
      </c>
      <c r="E49" s="37"/>
      <c r="F49" s="36"/>
      <c r="G49" s="36"/>
      <c r="H49" s="36"/>
      <c r="I49" s="36"/>
      <c r="J49" s="36"/>
      <c r="K49" s="36"/>
      <c r="L49" s="38"/>
      <c r="M49" s="21" t="str">
        <f aca="false">IF(OR(E49="",L49=""),"",E49*L49)</f>
        <v/>
      </c>
      <c r="N49" s="36"/>
    </row>
    <row r="50" customFormat="false" ht="15" hidden="false" customHeight="false" outlineLevel="0" collapsed="false">
      <c r="A50" s="25" t="str">
        <f aca="false">IF(C50="","",ROW()-5)</f>
        <v/>
      </c>
      <c r="B50" s="35"/>
      <c r="C50" s="36"/>
      <c r="D50" s="25" t="str">
        <f aca="false">IF(C50="","",INDEX(Firmalar!$C$5:$C$7,MATCH(C50,Firmalar!$A$5:$A$7,0)))</f>
        <v/>
      </c>
      <c r="E50" s="37"/>
      <c r="F50" s="36"/>
      <c r="G50" s="36"/>
      <c r="H50" s="36"/>
      <c r="I50" s="36"/>
      <c r="J50" s="36"/>
      <c r="K50" s="36"/>
      <c r="L50" s="38"/>
      <c r="M50" s="21" t="str">
        <f aca="false">IF(OR(E50="",L50=""),"",E50*L50)</f>
        <v/>
      </c>
      <c r="N50" s="36"/>
    </row>
    <row r="51" customFormat="false" ht="15" hidden="false" customHeight="false" outlineLevel="0" collapsed="false">
      <c r="A51" s="25" t="str">
        <f aca="false">IF(C51="","",ROW()-5)</f>
        <v/>
      </c>
      <c r="B51" s="35"/>
      <c r="C51" s="36"/>
      <c r="D51" s="25" t="str">
        <f aca="false">IF(C51="","",INDEX(Firmalar!$C$5:$C$7,MATCH(C51,Firmalar!$A$5:$A$7,0)))</f>
        <v/>
      </c>
      <c r="E51" s="37"/>
      <c r="F51" s="36"/>
      <c r="G51" s="36"/>
      <c r="H51" s="36"/>
      <c r="I51" s="36"/>
      <c r="J51" s="36"/>
      <c r="K51" s="36"/>
      <c r="L51" s="38"/>
      <c r="M51" s="21" t="str">
        <f aca="false">IF(OR(E51="",L51=""),"",E51*L51)</f>
        <v/>
      </c>
      <c r="N51" s="36"/>
    </row>
    <row r="52" customFormat="false" ht="15" hidden="false" customHeight="false" outlineLevel="0" collapsed="false">
      <c r="A52" s="25" t="str">
        <f aca="false">IF(C52="","",ROW()-5)</f>
        <v/>
      </c>
      <c r="B52" s="35"/>
      <c r="C52" s="36"/>
      <c r="D52" s="25" t="str">
        <f aca="false">IF(C52="","",INDEX(Firmalar!$C$5:$C$7,MATCH(C52,Firmalar!$A$5:$A$7,0)))</f>
        <v/>
      </c>
      <c r="E52" s="37"/>
      <c r="F52" s="36"/>
      <c r="G52" s="36"/>
      <c r="H52" s="36"/>
      <c r="I52" s="36"/>
      <c r="J52" s="36"/>
      <c r="K52" s="36"/>
      <c r="L52" s="38"/>
      <c r="M52" s="21" t="str">
        <f aca="false">IF(OR(E52="",L52=""),"",E52*L52)</f>
        <v/>
      </c>
      <c r="N52" s="36"/>
    </row>
    <row r="53" customFormat="false" ht="15" hidden="false" customHeight="false" outlineLevel="0" collapsed="false">
      <c r="A53" s="25" t="str">
        <f aca="false">IF(C53="","",ROW()-5)</f>
        <v/>
      </c>
      <c r="B53" s="35"/>
      <c r="C53" s="36"/>
      <c r="D53" s="25" t="str">
        <f aca="false">IF(C53="","",INDEX(Firmalar!$C$5:$C$7,MATCH(C53,Firmalar!$A$5:$A$7,0)))</f>
        <v/>
      </c>
      <c r="E53" s="37"/>
      <c r="F53" s="36"/>
      <c r="G53" s="36"/>
      <c r="H53" s="36"/>
      <c r="I53" s="36"/>
      <c r="J53" s="36"/>
      <c r="K53" s="36"/>
      <c r="L53" s="38"/>
      <c r="M53" s="21" t="str">
        <f aca="false">IF(OR(E53="",L53=""),"",E53*L53)</f>
        <v/>
      </c>
      <c r="N53" s="36"/>
    </row>
    <row r="54" customFormat="false" ht="15" hidden="false" customHeight="false" outlineLevel="0" collapsed="false">
      <c r="A54" s="25" t="str">
        <f aca="false">IF(C54="","",ROW()-5)</f>
        <v/>
      </c>
      <c r="B54" s="35"/>
      <c r="C54" s="36"/>
      <c r="D54" s="25" t="str">
        <f aca="false">IF(C54="","",INDEX(Firmalar!$C$5:$C$7,MATCH(C54,Firmalar!$A$5:$A$7,0)))</f>
        <v/>
      </c>
      <c r="E54" s="37"/>
      <c r="F54" s="36"/>
      <c r="G54" s="36"/>
      <c r="H54" s="36"/>
      <c r="I54" s="36"/>
      <c r="J54" s="36"/>
      <c r="K54" s="36"/>
      <c r="L54" s="38"/>
      <c r="M54" s="21" t="str">
        <f aca="false">IF(OR(E54="",L54=""),"",E54*L54)</f>
        <v/>
      </c>
      <c r="N54" s="36"/>
    </row>
    <row r="55" customFormat="false" ht="15" hidden="false" customHeight="false" outlineLevel="0" collapsed="false">
      <c r="A55" s="25" t="str">
        <f aca="false">IF(C55="","",ROW()-5)</f>
        <v/>
      </c>
      <c r="B55" s="35"/>
      <c r="C55" s="36"/>
      <c r="D55" s="25" t="str">
        <f aca="false">IF(C55="","",INDEX(Firmalar!$C$5:$C$7,MATCH(C55,Firmalar!$A$5:$A$7,0)))</f>
        <v/>
      </c>
      <c r="E55" s="37"/>
      <c r="F55" s="36"/>
      <c r="G55" s="36"/>
      <c r="H55" s="36"/>
      <c r="I55" s="36"/>
      <c r="J55" s="36"/>
      <c r="K55" s="36"/>
      <c r="L55" s="38"/>
      <c r="M55" s="21" t="str">
        <f aca="false">IF(OR(E55="",L55=""),"",E55*L55)</f>
        <v/>
      </c>
      <c r="N55" s="36"/>
    </row>
    <row r="56" customFormat="false" ht="15" hidden="false" customHeight="false" outlineLevel="0" collapsed="false">
      <c r="A56" s="25" t="str">
        <f aca="false">IF(C56="","",ROW()-5)</f>
        <v/>
      </c>
      <c r="B56" s="35"/>
      <c r="C56" s="36"/>
      <c r="D56" s="25" t="str">
        <f aca="false">IF(C56="","",INDEX(Firmalar!$C$5:$C$7,MATCH(C56,Firmalar!$A$5:$A$7,0)))</f>
        <v/>
      </c>
      <c r="E56" s="37"/>
      <c r="F56" s="36"/>
      <c r="G56" s="36"/>
      <c r="H56" s="36"/>
      <c r="I56" s="36"/>
      <c r="J56" s="36"/>
      <c r="K56" s="36"/>
      <c r="L56" s="38"/>
      <c r="M56" s="21" t="str">
        <f aca="false">IF(OR(E56="",L56=""),"",E56*L56)</f>
        <v/>
      </c>
      <c r="N56" s="36"/>
    </row>
    <row r="57" customFormat="false" ht="15" hidden="false" customHeight="false" outlineLevel="0" collapsed="false">
      <c r="A57" s="25" t="str">
        <f aca="false">IF(C57="","",ROW()-5)</f>
        <v/>
      </c>
      <c r="B57" s="35"/>
      <c r="C57" s="36"/>
      <c r="D57" s="25" t="str">
        <f aca="false">IF(C57="","",INDEX(Firmalar!$C$5:$C$7,MATCH(C57,Firmalar!$A$5:$A$7,0)))</f>
        <v/>
      </c>
      <c r="E57" s="37"/>
      <c r="F57" s="36"/>
      <c r="G57" s="36"/>
      <c r="H57" s="36"/>
      <c r="I57" s="36"/>
      <c r="J57" s="36"/>
      <c r="K57" s="36"/>
      <c r="L57" s="38"/>
      <c r="M57" s="21" t="str">
        <f aca="false">IF(OR(E57="",L57=""),"",E57*L57)</f>
        <v/>
      </c>
      <c r="N57" s="36"/>
    </row>
    <row r="58" customFormat="false" ht="15" hidden="false" customHeight="false" outlineLevel="0" collapsed="false">
      <c r="A58" s="25" t="str">
        <f aca="false">IF(C58="","",ROW()-5)</f>
        <v/>
      </c>
      <c r="B58" s="35"/>
      <c r="C58" s="36"/>
      <c r="D58" s="25" t="str">
        <f aca="false">IF(C58="","",INDEX(Firmalar!$C$5:$C$7,MATCH(C58,Firmalar!$A$5:$A$7,0)))</f>
        <v/>
      </c>
      <c r="E58" s="37"/>
      <c r="F58" s="36"/>
      <c r="G58" s="36"/>
      <c r="H58" s="36"/>
      <c r="I58" s="36"/>
      <c r="J58" s="36"/>
      <c r="K58" s="36"/>
      <c r="L58" s="38"/>
      <c r="M58" s="21" t="str">
        <f aca="false">IF(OR(E58="",L58=""),"",E58*L58)</f>
        <v/>
      </c>
      <c r="N58" s="36"/>
    </row>
    <row r="59" customFormat="false" ht="15" hidden="false" customHeight="false" outlineLevel="0" collapsed="false">
      <c r="A59" s="25" t="str">
        <f aca="false">IF(C59="","",ROW()-5)</f>
        <v/>
      </c>
      <c r="B59" s="35"/>
      <c r="C59" s="36"/>
      <c r="D59" s="25" t="str">
        <f aca="false">IF(C59="","",INDEX(Firmalar!$C$5:$C$7,MATCH(C59,Firmalar!$A$5:$A$7,0)))</f>
        <v/>
      </c>
      <c r="E59" s="37"/>
      <c r="F59" s="36"/>
      <c r="G59" s="36"/>
      <c r="H59" s="36"/>
      <c r="I59" s="36"/>
      <c r="J59" s="36"/>
      <c r="K59" s="36"/>
      <c r="L59" s="38"/>
      <c r="M59" s="21" t="str">
        <f aca="false">IF(OR(E59="",L59=""),"",E59*L59)</f>
        <v/>
      </c>
      <c r="N59" s="36"/>
    </row>
    <row r="60" customFormat="false" ht="15" hidden="false" customHeight="false" outlineLevel="0" collapsed="false">
      <c r="A60" s="25" t="str">
        <f aca="false">IF(C60="","",ROW()-5)</f>
        <v/>
      </c>
      <c r="B60" s="35"/>
      <c r="C60" s="36"/>
      <c r="D60" s="25" t="str">
        <f aca="false">IF(C60="","",INDEX(Firmalar!$C$5:$C$7,MATCH(C60,Firmalar!$A$5:$A$7,0)))</f>
        <v/>
      </c>
      <c r="E60" s="37"/>
      <c r="F60" s="36"/>
      <c r="G60" s="36"/>
      <c r="H60" s="36"/>
      <c r="I60" s="36"/>
      <c r="J60" s="36"/>
      <c r="K60" s="36"/>
      <c r="L60" s="38"/>
      <c r="M60" s="21" t="str">
        <f aca="false">IF(OR(E60="",L60=""),"",E60*L60)</f>
        <v/>
      </c>
      <c r="N60" s="36"/>
    </row>
    <row r="61" customFormat="false" ht="15" hidden="false" customHeight="false" outlineLevel="0" collapsed="false">
      <c r="A61" s="25" t="str">
        <f aca="false">IF(C61="","",ROW()-5)</f>
        <v/>
      </c>
      <c r="B61" s="35"/>
      <c r="C61" s="36"/>
      <c r="D61" s="25" t="str">
        <f aca="false">IF(C61="","",INDEX(Firmalar!$C$5:$C$7,MATCH(C61,Firmalar!$A$5:$A$7,0)))</f>
        <v/>
      </c>
      <c r="E61" s="37"/>
      <c r="F61" s="36"/>
      <c r="G61" s="36"/>
      <c r="H61" s="36"/>
      <c r="I61" s="36"/>
      <c r="J61" s="36"/>
      <c r="K61" s="36"/>
      <c r="L61" s="38"/>
      <c r="M61" s="21" t="str">
        <f aca="false">IF(OR(E61="",L61=""),"",E61*L61)</f>
        <v/>
      </c>
      <c r="N61" s="36"/>
    </row>
    <row r="62" customFormat="false" ht="15" hidden="false" customHeight="false" outlineLevel="0" collapsed="false">
      <c r="A62" s="25" t="str">
        <f aca="false">IF(C62="","",ROW()-5)</f>
        <v/>
      </c>
      <c r="B62" s="35"/>
      <c r="C62" s="36"/>
      <c r="D62" s="25" t="str">
        <f aca="false">IF(C62="","",INDEX(Firmalar!$C$5:$C$7,MATCH(C62,Firmalar!$A$5:$A$7,0)))</f>
        <v/>
      </c>
      <c r="E62" s="37"/>
      <c r="F62" s="36"/>
      <c r="G62" s="36"/>
      <c r="H62" s="36"/>
      <c r="I62" s="36"/>
      <c r="J62" s="36"/>
      <c r="K62" s="36"/>
      <c r="L62" s="38"/>
      <c r="M62" s="21" t="str">
        <f aca="false">IF(OR(E62="",L62=""),"",E62*L62)</f>
        <v/>
      </c>
      <c r="N62" s="36"/>
    </row>
    <row r="63" customFormat="false" ht="15" hidden="false" customHeight="false" outlineLevel="0" collapsed="false">
      <c r="A63" s="25" t="str">
        <f aca="false">IF(C63="","",ROW()-5)</f>
        <v/>
      </c>
      <c r="B63" s="35"/>
      <c r="C63" s="36"/>
      <c r="D63" s="25" t="str">
        <f aca="false">IF(C63="","",INDEX(Firmalar!$C$5:$C$7,MATCH(C63,Firmalar!$A$5:$A$7,0)))</f>
        <v/>
      </c>
      <c r="E63" s="37"/>
      <c r="F63" s="36"/>
      <c r="G63" s="36"/>
      <c r="H63" s="36"/>
      <c r="I63" s="36"/>
      <c r="J63" s="36"/>
      <c r="K63" s="36"/>
      <c r="L63" s="38"/>
      <c r="M63" s="21" t="str">
        <f aca="false">IF(OR(E63="",L63=""),"",E63*L63)</f>
        <v/>
      </c>
      <c r="N63" s="36"/>
    </row>
    <row r="64" customFormat="false" ht="15" hidden="false" customHeight="false" outlineLevel="0" collapsed="false">
      <c r="A64" s="25" t="str">
        <f aca="false">IF(C64="","",ROW()-5)</f>
        <v/>
      </c>
      <c r="B64" s="35"/>
      <c r="C64" s="36"/>
      <c r="D64" s="25" t="str">
        <f aca="false">IF(C64="","",INDEX(Firmalar!$C$5:$C$7,MATCH(C64,Firmalar!$A$5:$A$7,0)))</f>
        <v/>
      </c>
      <c r="E64" s="37"/>
      <c r="F64" s="36"/>
      <c r="G64" s="36"/>
      <c r="H64" s="36"/>
      <c r="I64" s="36"/>
      <c r="J64" s="36"/>
      <c r="K64" s="36"/>
      <c r="L64" s="38"/>
      <c r="M64" s="21" t="str">
        <f aca="false">IF(OR(E64="",L64=""),"",E64*L64)</f>
        <v/>
      </c>
      <c r="N64" s="36"/>
    </row>
    <row r="65" customFormat="false" ht="15" hidden="false" customHeight="false" outlineLevel="0" collapsed="false">
      <c r="A65" s="25" t="str">
        <f aca="false">IF(C65="","",ROW()-5)</f>
        <v/>
      </c>
      <c r="B65" s="35"/>
      <c r="C65" s="36"/>
      <c r="D65" s="25" t="str">
        <f aca="false">IF(C65="","",INDEX(Firmalar!$C$5:$C$7,MATCH(C65,Firmalar!$A$5:$A$7,0)))</f>
        <v/>
      </c>
      <c r="E65" s="37"/>
      <c r="F65" s="36"/>
      <c r="G65" s="36"/>
      <c r="H65" s="36"/>
      <c r="I65" s="36"/>
      <c r="J65" s="36"/>
      <c r="K65" s="36"/>
      <c r="L65" s="38"/>
      <c r="M65" s="21" t="str">
        <f aca="false">IF(OR(E65="",L65=""),"",E65*L65)</f>
        <v/>
      </c>
      <c r="N65" s="36"/>
    </row>
    <row r="66" customFormat="false" ht="15" hidden="false" customHeight="false" outlineLevel="0" collapsed="false">
      <c r="A66" s="25" t="str">
        <f aca="false">IF(C66="","",ROW()-5)</f>
        <v/>
      </c>
      <c r="B66" s="35"/>
      <c r="C66" s="36"/>
      <c r="D66" s="25" t="str">
        <f aca="false">IF(C66="","",INDEX(Firmalar!$C$5:$C$7,MATCH(C66,Firmalar!$A$5:$A$7,0)))</f>
        <v/>
      </c>
      <c r="E66" s="37"/>
      <c r="F66" s="36"/>
      <c r="G66" s="36"/>
      <c r="H66" s="36"/>
      <c r="I66" s="36"/>
      <c r="J66" s="36"/>
      <c r="K66" s="36"/>
      <c r="L66" s="38"/>
      <c r="M66" s="21" t="str">
        <f aca="false">IF(OR(E66="",L66=""),"",E66*L66)</f>
        <v/>
      </c>
      <c r="N66" s="36"/>
    </row>
    <row r="67" customFormat="false" ht="15" hidden="false" customHeight="false" outlineLevel="0" collapsed="false">
      <c r="A67" s="25" t="str">
        <f aca="false">IF(C67="","",ROW()-5)</f>
        <v/>
      </c>
      <c r="B67" s="35"/>
      <c r="C67" s="36"/>
      <c r="D67" s="25" t="str">
        <f aca="false">IF(C67="","",INDEX(Firmalar!$C$5:$C$7,MATCH(C67,Firmalar!$A$5:$A$7,0)))</f>
        <v/>
      </c>
      <c r="E67" s="37"/>
      <c r="F67" s="36"/>
      <c r="G67" s="36"/>
      <c r="H67" s="36"/>
      <c r="I67" s="36"/>
      <c r="J67" s="36"/>
      <c r="K67" s="36"/>
      <c r="L67" s="38"/>
      <c r="M67" s="21" t="str">
        <f aca="false">IF(OR(E67="",L67=""),"",E67*L67)</f>
        <v/>
      </c>
      <c r="N67" s="36"/>
    </row>
    <row r="68" customFormat="false" ht="15" hidden="false" customHeight="false" outlineLevel="0" collapsed="false">
      <c r="A68" s="25" t="str">
        <f aca="false">IF(C68="","",ROW()-5)</f>
        <v/>
      </c>
      <c r="B68" s="35"/>
      <c r="C68" s="36"/>
      <c r="D68" s="25" t="str">
        <f aca="false">IF(C68="","",INDEX(Firmalar!$C$5:$C$7,MATCH(C68,Firmalar!$A$5:$A$7,0)))</f>
        <v/>
      </c>
      <c r="E68" s="37"/>
      <c r="F68" s="36"/>
      <c r="G68" s="36"/>
      <c r="H68" s="36"/>
      <c r="I68" s="36"/>
      <c r="J68" s="36"/>
      <c r="K68" s="36"/>
      <c r="L68" s="38"/>
      <c r="M68" s="21" t="str">
        <f aca="false">IF(OR(E68="",L68=""),"",E68*L68)</f>
        <v/>
      </c>
      <c r="N68" s="36"/>
    </row>
    <row r="69" customFormat="false" ht="15" hidden="false" customHeight="false" outlineLevel="0" collapsed="false">
      <c r="A69" s="25" t="str">
        <f aca="false">IF(C69="","",ROW()-5)</f>
        <v/>
      </c>
      <c r="B69" s="35"/>
      <c r="C69" s="36"/>
      <c r="D69" s="25" t="str">
        <f aca="false">IF(C69="","",INDEX(Firmalar!$C$5:$C$7,MATCH(C69,Firmalar!$A$5:$A$7,0)))</f>
        <v/>
      </c>
      <c r="E69" s="37"/>
      <c r="F69" s="36"/>
      <c r="G69" s="36"/>
      <c r="H69" s="36"/>
      <c r="I69" s="36"/>
      <c r="J69" s="36"/>
      <c r="K69" s="36"/>
      <c r="L69" s="38"/>
      <c r="M69" s="21" t="str">
        <f aca="false">IF(OR(E69="",L69=""),"",E69*L69)</f>
        <v/>
      </c>
      <c r="N69" s="36"/>
    </row>
    <row r="70" customFormat="false" ht="15" hidden="false" customHeight="false" outlineLevel="0" collapsed="false">
      <c r="A70" s="25" t="str">
        <f aca="false">IF(C70="","",ROW()-5)</f>
        <v/>
      </c>
      <c r="B70" s="35"/>
      <c r="C70" s="36"/>
      <c r="D70" s="25" t="str">
        <f aca="false">IF(C70="","",INDEX(Firmalar!$C$5:$C$7,MATCH(C70,Firmalar!$A$5:$A$7,0)))</f>
        <v/>
      </c>
      <c r="E70" s="37"/>
      <c r="F70" s="36"/>
      <c r="G70" s="36"/>
      <c r="H70" s="36"/>
      <c r="I70" s="36"/>
      <c r="J70" s="36"/>
      <c r="K70" s="36"/>
      <c r="L70" s="38"/>
      <c r="M70" s="21" t="str">
        <f aca="false">IF(OR(E70="",L70=""),"",E70*L70)</f>
        <v/>
      </c>
      <c r="N70" s="36"/>
    </row>
    <row r="71" customFormat="false" ht="15" hidden="false" customHeight="false" outlineLevel="0" collapsed="false">
      <c r="A71" s="25" t="str">
        <f aca="false">IF(C71="","",ROW()-5)</f>
        <v/>
      </c>
      <c r="B71" s="35"/>
      <c r="C71" s="36"/>
      <c r="D71" s="25" t="str">
        <f aca="false">IF(C71="","",INDEX(Firmalar!$C$5:$C$7,MATCH(C71,Firmalar!$A$5:$A$7,0)))</f>
        <v/>
      </c>
      <c r="E71" s="37"/>
      <c r="F71" s="36"/>
      <c r="G71" s="36"/>
      <c r="H71" s="36"/>
      <c r="I71" s="36"/>
      <c r="J71" s="36"/>
      <c r="K71" s="36"/>
      <c r="L71" s="38"/>
      <c r="M71" s="21" t="str">
        <f aca="false">IF(OR(E71="",L71=""),"",E71*L71)</f>
        <v/>
      </c>
      <c r="N71" s="36"/>
    </row>
    <row r="72" customFormat="false" ht="15" hidden="false" customHeight="false" outlineLevel="0" collapsed="false">
      <c r="A72" s="25" t="str">
        <f aca="false">IF(C72="","",ROW()-5)</f>
        <v/>
      </c>
      <c r="B72" s="35"/>
      <c r="C72" s="36"/>
      <c r="D72" s="25" t="str">
        <f aca="false">IF(C72="","",INDEX(Firmalar!$C$5:$C$7,MATCH(C72,Firmalar!$A$5:$A$7,0)))</f>
        <v/>
      </c>
      <c r="E72" s="37"/>
      <c r="F72" s="36"/>
      <c r="G72" s="36"/>
      <c r="H72" s="36"/>
      <c r="I72" s="36"/>
      <c r="J72" s="36"/>
      <c r="K72" s="36"/>
      <c r="L72" s="38"/>
      <c r="M72" s="21" t="str">
        <f aca="false">IF(OR(E72="",L72=""),"",E72*L72)</f>
        <v/>
      </c>
      <c r="N72" s="36"/>
    </row>
    <row r="73" customFormat="false" ht="15" hidden="false" customHeight="false" outlineLevel="0" collapsed="false">
      <c r="A73" s="25" t="str">
        <f aca="false">IF(C73="","",ROW()-5)</f>
        <v/>
      </c>
      <c r="B73" s="35"/>
      <c r="C73" s="36"/>
      <c r="D73" s="25" t="str">
        <f aca="false">IF(C73="","",INDEX(Firmalar!$C$5:$C$7,MATCH(C73,Firmalar!$A$5:$A$7,0)))</f>
        <v/>
      </c>
      <c r="E73" s="37"/>
      <c r="F73" s="36"/>
      <c r="G73" s="36"/>
      <c r="H73" s="36"/>
      <c r="I73" s="36"/>
      <c r="J73" s="36"/>
      <c r="K73" s="36"/>
      <c r="L73" s="38"/>
      <c r="M73" s="21" t="str">
        <f aca="false">IF(OR(E73="",L73=""),"",E73*L73)</f>
        <v/>
      </c>
      <c r="N73" s="36"/>
    </row>
    <row r="74" customFormat="false" ht="15" hidden="false" customHeight="false" outlineLevel="0" collapsed="false">
      <c r="A74" s="25" t="str">
        <f aca="false">IF(C74="","",ROW()-5)</f>
        <v/>
      </c>
      <c r="B74" s="35"/>
      <c r="C74" s="36"/>
      <c r="D74" s="25" t="str">
        <f aca="false">IF(C74="","",INDEX(Firmalar!$C$5:$C$7,MATCH(C74,Firmalar!$A$5:$A$7,0)))</f>
        <v/>
      </c>
      <c r="E74" s="37"/>
      <c r="F74" s="36"/>
      <c r="G74" s="36"/>
      <c r="H74" s="36"/>
      <c r="I74" s="36"/>
      <c r="J74" s="36"/>
      <c r="K74" s="36"/>
      <c r="L74" s="38"/>
      <c r="M74" s="21" t="str">
        <f aca="false">IF(OR(E74="",L74=""),"",E74*L74)</f>
        <v/>
      </c>
      <c r="N74" s="36"/>
    </row>
    <row r="75" customFormat="false" ht="15" hidden="false" customHeight="false" outlineLevel="0" collapsed="false">
      <c r="A75" s="25" t="str">
        <f aca="false">IF(C75="","",ROW()-5)</f>
        <v/>
      </c>
      <c r="B75" s="35"/>
      <c r="C75" s="36"/>
      <c r="D75" s="25" t="str">
        <f aca="false">IF(C75="","",INDEX(Firmalar!$C$5:$C$7,MATCH(C75,Firmalar!$A$5:$A$7,0)))</f>
        <v/>
      </c>
      <c r="E75" s="37"/>
      <c r="F75" s="36"/>
      <c r="G75" s="36"/>
      <c r="H75" s="36"/>
      <c r="I75" s="36"/>
      <c r="J75" s="36"/>
      <c r="K75" s="36"/>
      <c r="L75" s="38"/>
      <c r="M75" s="21" t="str">
        <f aca="false">IF(OR(E75="",L75=""),"",E75*L75)</f>
        <v/>
      </c>
      <c r="N75" s="36"/>
    </row>
    <row r="76" customFormat="false" ht="15" hidden="false" customHeight="false" outlineLevel="0" collapsed="false">
      <c r="A76" s="25" t="str">
        <f aca="false">IF(C76="","",ROW()-5)</f>
        <v/>
      </c>
      <c r="B76" s="35"/>
      <c r="C76" s="36"/>
      <c r="D76" s="25" t="str">
        <f aca="false">IF(C76="","",INDEX(Firmalar!$C$5:$C$7,MATCH(C76,Firmalar!$A$5:$A$7,0)))</f>
        <v/>
      </c>
      <c r="E76" s="37"/>
      <c r="F76" s="36"/>
      <c r="G76" s="36"/>
      <c r="H76" s="36"/>
      <c r="I76" s="36"/>
      <c r="J76" s="36"/>
      <c r="K76" s="36"/>
      <c r="L76" s="38"/>
      <c r="M76" s="21" t="str">
        <f aca="false">IF(OR(E76="",L76=""),"",E76*L76)</f>
        <v/>
      </c>
      <c r="N76" s="36"/>
    </row>
    <row r="77" customFormat="false" ht="15" hidden="false" customHeight="false" outlineLevel="0" collapsed="false">
      <c r="A77" s="25" t="str">
        <f aca="false">IF(C77="","",ROW()-5)</f>
        <v/>
      </c>
      <c r="B77" s="35"/>
      <c r="C77" s="36"/>
      <c r="D77" s="25" t="str">
        <f aca="false">IF(C77="","",INDEX(Firmalar!$C$5:$C$7,MATCH(C77,Firmalar!$A$5:$A$7,0)))</f>
        <v/>
      </c>
      <c r="E77" s="37"/>
      <c r="F77" s="36"/>
      <c r="G77" s="36"/>
      <c r="H77" s="36"/>
      <c r="I77" s="36"/>
      <c r="J77" s="36"/>
      <c r="K77" s="36"/>
      <c r="L77" s="38"/>
      <c r="M77" s="21" t="str">
        <f aca="false">IF(OR(E77="",L77=""),"",E77*L77)</f>
        <v/>
      </c>
      <c r="N77" s="36"/>
    </row>
    <row r="78" customFormat="false" ht="15" hidden="false" customHeight="false" outlineLevel="0" collapsed="false">
      <c r="A78" s="25" t="str">
        <f aca="false">IF(C78="","",ROW()-5)</f>
        <v/>
      </c>
      <c r="B78" s="35"/>
      <c r="C78" s="36"/>
      <c r="D78" s="25" t="str">
        <f aca="false">IF(C78="","",INDEX(Firmalar!$C$5:$C$7,MATCH(C78,Firmalar!$A$5:$A$7,0)))</f>
        <v/>
      </c>
      <c r="E78" s="37"/>
      <c r="F78" s="36"/>
      <c r="G78" s="36"/>
      <c r="H78" s="36"/>
      <c r="I78" s="36"/>
      <c r="J78" s="36"/>
      <c r="K78" s="36"/>
      <c r="L78" s="38"/>
      <c r="M78" s="21" t="str">
        <f aca="false">IF(OR(E78="",L78=""),"",E78*L78)</f>
        <v/>
      </c>
      <c r="N78" s="36"/>
    </row>
    <row r="79" customFormat="false" ht="15" hidden="false" customHeight="false" outlineLevel="0" collapsed="false">
      <c r="A79" s="25" t="str">
        <f aca="false">IF(C79="","",ROW()-5)</f>
        <v/>
      </c>
      <c r="B79" s="35"/>
      <c r="C79" s="36"/>
      <c r="D79" s="25" t="str">
        <f aca="false">IF(C79="","",INDEX(Firmalar!$C$5:$C$7,MATCH(C79,Firmalar!$A$5:$A$7,0)))</f>
        <v/>
      </c>
      <c r="E79" s="37"/>
      <c r="F79" s="36"/>
      <c r="G79" s="36"/>
      <c r="H79" s="36"/>
      <c r="I79" s="36"/>
      <c r="J79" s="36"/>
      <c r="K79" s="36"/>
      <c r="L79" s="38"/>
      <c r="M79" s="21" t="str">
        <f aca="false">IF(OR(E79="",L79=""),"",E79*L79)</f>
        <v/>
      </c>
      <c r="N79" s="36"/>
    </row>
    <row r="80" customFormat="false" ht="15" hidden="false" customHeight="false" outlineLevel="0" collapsed="false">
      <c r="A80" s="25" t="str">
        <f aca="false">IF(C80="","",ROW()-5)</f>
        <v/>
      </c>
      <c r="B80" s="35"/>
      <c r="C80" s="36"/>
      <c r="D80" s="25" t="str">
        <f aca="false">IF(C80="","",INDEX(Firmalar!$C$5:$C$7,MATCH(C80,Firmalar!$A$5:$A$7,0)))</f>
        <v/>
      </c>
      <c r="E80" s="37"/>
      <c r="F80" s="36"/>
      <c r="G80" s="36"/>
      <c r="H80" s="36"/>
      <c r="I80" s="36"/>
      <c r="J80" s="36"/>
      <c r="K80" s="36"/>
      <c r="L80" s="38"/>
      <c r="M80" s="21" t="str">
        <f aca="false">IF(OR(E80="",L80=""),"",E80*L80)</f>
        <v/>
      </c>
      <c r="N80" s="36"/>
    </row>
    <row r="81" customFormat="false" ht="15" hidden="false" customHeight="false" outlineLevel="0" collapsed="false">
      <c r="A81" s="25" t="str">
        <f aca="false">IF(C81="","",ROW()-5)</f>
        <v/>
      </c>
      <c r="B81" s="35"/>
      <c r="C81" s="36"/>
      <c r="D81" s="25" t="str">
        <f aca="false">IF(C81="","",INDEX(Firmalar!$C$5:$C$7,MATCH(C81,Firmalar!$A$5:$A$7,0)))</f>
        <v/>
      </c>
      <c r="E81" s="37"/>
      <c r="F81" s="36"/>
      <c r="G81" s="36"/>
      <c r="H81" s="36"/>
      <c r="I81" s="36"/>
      <c r="J81" s="36"/>
      <c r="K81" s="36"/>
      <c r="L81" s="38"/>
      <c r="M81" s="21" t="str">
        <f aca="false">IF(OR(E81="",L81=""),"",E81*L81)</f>
        <v/>
      </c>
      <c r="N81" s="36"/>
    </row>
    <row r="82" customFormat="false" ht="15" hidden="false" customHeight="false" outlineLevel="0" collapsed="false">
      <c r="A82" s="25" t="str">
        <f aca="false">IF(C82="","",ROW()-5)</f>
        <v/>
      </c>
      <c r="B82" s="35"/>
      <c r="C82" s="36"/>
      <c r="D82" s="25" t="str">
        <f aca="false">IF(C82="","",INDEX(Firmalar!$C$5:$C$7,MATCH(C82,Firmalar!$A$5:$A$7,0)))</f>
        <v/>
      </c>
      <c r="E82" s="37"/>
      <c r="F82" s="36"/>
      <c r="G82" s="36"/>
      <c r="H82" s="36"/>
      <c r="I82" s="36"/>
      <c r="J82" s="36"/>
      <c r="K82" s="36"/>
      <c r="L82" s="38"/>
      <c r="M82" s="21" t="str">
        <f aca="false">IF(OR(E82="",L82=""),"",E82*L82)</f>
        <v/>
      </c>
      <c r="N82" s="36"/>
    </row>
    <row r="83" customFormat="false" ht="15" hidden="false" customHeight="false" outlineLevel="0" collapsed="false">
      <c r="A83" s="25" t="str">
        <f aca="false">IF(C83="","",ROW()-5)</f>
        <v/>
      </c>
      <c r="B83" s="35"/>
      <c r="C83" s="36"/>
      <c r="D83" s="25" t="str">
        <f aca="false">IF(C83="","",INDEX(Firmalar!$C$5:$C$7,MATCH(C83,Firmalar!$A$5:$A$7,0)))</f>
        <v/>
      </c>
      <c r="E83" s="37"/>
      <c r="F83" s="36"/>
      <c r="G83" s="36"/>
      <c r="H83" s="36"/>
      <c r="I83" s="36"/>
      <c r="J83" s="36"/>
      <c r="K83" s="36"/>
      <c r="L83" s="38"/>
      <c r="M83" s="21" t="str">
        <f aca="false">IF(OR(E83="",L83=""),"",E83*L83)</f>
        <v/>
      </c>
      <c r="N83" s="36"/>
    </row>
    <row r="84" customFormat="false" ht="15" hidden="false" customHeight="false" outlineLevel="0" collapsed="false">
      <c r="A84" s="25" t="str">
        <f aca="false">IF(C84="","",ROW()-5)</f>
        <v/>
      </c>
      <c r="B84" s="35"/>
      <c r="C84" s="36"/>
      <c r="D84" s="25" t="str">
        <f aca="false">IF(C84="","",INDEX(Firmalar!$C$5:$C$7,MATCH(C84,Firmalar!$A$5:$A$7,0)))</f>
        <v/>
      </c>
      <c r="E84" s="37"/>
      <c r="F84" s="36"/>
      <c r="G84" s="36"/>
      <c r="H84" s="36"/>
      <c r="I84" s="36"/>
      <c r="J84" s="36"/>
      <c r="K84" s="36"/>
      <c r="L84" s="38"/>
      <c r="M84" s="21" t="str">
        <f aca="false">IF(OR(E84="",L84=""),"",E84*L84)</f>
        <v/>
      </c>
      <c r="N84" s="36"/>
    </row>
    <row r="85" customFormat="false" ht="15" hidden="false" customHeight="false" outlineLevel="0" collapsed="false">
      <c r="A85" s="25" t="str">
        <f aca="false">IF(C85="","",ROW()-5)</f>
        <v/>
      </c>
      <c r="B85" s="35"/>
      <c r="C85" s="36"/>
      <c r="D85" s="25" t="str">
        <f aca="false">IF(C85="","",INDEX(Firmalar!$C$5:$C$7,MATCH(C85,Firmalar!$A$5:$A$7,0)))</f>
        <v/>
      </c>
      <c r="E85" s="37"/>
      <c r="F85" s="36"/>
      <c r="G85" s="36"/>
      <c r="H85" s="36"/>
      <c r="I85" s="36"/>
      <c r="J85" s="36"/>
      <c r="K85" s="36"/>
      <c r="L85" s="38"/>
      <c r="M85" s="21" t="str">
        <f aca="false">IF(OR(E85="",L85=""),"",E85*L85)</f>
        <v/>
      </c>
      <c r="N85" s="36"/>
    </row>
    <row r="86" customFormat="false" ht="15" hidden="false" customHeight="false" outlineLevel="0" collapsed="false">
      <c r="A86" s="25" t="str">
        <f aca="false">IF(C86="","",ROW()-5)</f>
        <v/>
      </c>
      <c r="B86" s="35"/>
      <c r="C86" s="36"/>
      <c r="D86" s="25" t="str">
        <f aca="false">IF(C86="","",INDEX(Firmalar!$C$5:$C$7,MATCH(C86,Firmalar!$A$5:$A$7,0)))</f>
        <v/>
      </c>
      <c r="E86" s="37"/>
      <c r="F86" s="36"/>
      <c r="G86" s="36"/>
      <c r="H86" s="36"/>
      <c r="I86" s="36"/>
      <c r="J86" s="36"/>
      <c r="K86" s="36"/>
      <c r="L86" s="38"/>
      <c r="M86" s="21" t="str">
        <f aca="false">IF(OR(E86="",L86=""),"",E86*L86)</f>
        <v/>
      </c>
      <c r="N86" s="36"/>
    </row>
    <row r="87" customFormat="false" ht="15" hidden="false" customHeight="false" outlineLevel="0" collapsed="false">
      <c r="A87" s="25" t="str">
        <f aca="false">IF(C87="","",ROW()-5)</f>
        <v/>
      </c>
      <c r="B87" s="35"/>
      <c r="C87" s="36"/>
      <c r="D87" s="25" t="str">
        <f aca="false">IF(C87="","",INDEX(Firmalar!$C$5:$C$7,MATCH(C87,Firmalar!$A$5:$A$7,0)))</f>
        <v/>
      </c>
      <c r="E87" s="37"/>
      <c r="F87" s="36"/>
      <c r="G87" s="36"/>
      <c r="H87" s="36"/>
      <c r="I87" s="36"/>
      <c r="J87" s="36"/>
      <c r="K87" s="36"/>
      <c r="L87" s="38"/>
      <c r="M87" s="21" t="str">
        <f aca="false">IF(OR(E87="",L87=""),"",E87*L87)</f>
        <v/>
      </c>
      <c r="N87" s="36"/>
    </row>
    <row r="88" customFormat="false" ht="15" hidden="false" customHeight="false" outlineLevel="0" collapsed="false">
      <c r="A88" s="25" t="str">
        <f aca="false">IF(C88="","",ROW()-5)</f>
        <v/>
      </c>
      <c r="B88" s="35"/>
      <c r="C88" s="36"/>
      <c r="D88" s="25" t="str">
        <f aca="false">IF(C88="","",INDEX(Firmalar!$C$5:$C$7,MATCH(C88,Firmalar!$A$5:$A$7,0)))</f>
        <v/>
      </c>
      <c r="E88" s="37"/>
      <c r="F88" s="36"/>
      <c r="G88" s="36"/>
      <c r="H88" s="36"/>
      <c r="I88" s="36"/>
      <c r="J88" s="36"/>
      <c r="K88" s="36"/>
      <c r="L88" s="38"/>
      <c r="M88" s="21" t="str">
        <f aca="false">IF(OR(E88="",L88=""),"",E88*L88)</f>
        <v/>
      </c>
      <c r="N88" s="36"/>
    </row>
    <row r="89" customFormat="false" ht="15" hidden="false" customHeight="false" outlineLevel="0" collapsed="false">
      <c r="A89" s="25" t="str">
        <f aca="false">IF(C89="","",ROW()-5)</f>
        <v/>
      </c>
      <c r="B89" s="35"/>
      <c r="C89" s="36"/>
      <c r="D89" s="25" t="str">
        <f aca="false">IF(C89="","",INDEX(Firmalar!$C$5:$C$7,MATCH(C89,Firmalar!$A$5:$A$7,0)))</f>
        <v/>
      </c>
      <c r="E89" s="37"/>
      <c r="F89" s="36"/>
      <c r="G89" s="36"/>
      <c r="H89" s="36"/>
      <c r="I89" s="36"/>
      <c r="J89" s="36"/>
      <c r="K89" s="36"/>
      <c r="L89" s="38"/>
      <c r="M89" s="21" t="str">
        <f aca="false">IF(OR(E89="",L89=""),"",E89*L89)</f>
        <v/>
      </c>
      <c r="N89" s="36"/>
    </row>
    <row r="90" customFormat="false" ht="15" hidden="false" customHeight="false" outlineLevel="0" collapsed="false">
      <c r="A90" s="25" t="str">
        <f aca="false">IF(C90="","",ROW()-5)</f>
        <v/>
      </c>
      <c r="B90" s="35"/>
      <c r="C90" s="36"/>
      <c r="D90" s="25" t="str">
        <f aca="false">IF(C90="","",INDEX(Firmalar!$C$5:$C$7,MATCH(C90,Firmalar!$A$5:$A$7,0)))</f>
        <v/>
      </c>
      <c r="E90" s="37"/>
      <c r="F90" s="36"/>
      <c r="G90" s="36"/>
      <c r="H90" s="36"/>
      <c r="I90" s="36"/>
      <c r="J90" s="36"/>
      <c r="K90" s="36"/>
      <c r="L90" s="38"/>
      <c r="M90" s="21" t="str">
        <f aca="false">IF(OR(E90="",L90=""),"",E90*L90)</f>
        <v/>
      </c>
      <c r="N90" s="36"/>
    </row>
    <row r="91" customFormat="false" ht="15" hidden="false" customHeight="false" outlineLevel="0" collapsed="false">
      <c r="A91" s="25" t="str">
        <f aca="false">IF(C91="","",ROW()-5)</f>
        <v/>
      </c>
      <c r="B91" s="35"/>
      <c r="C91" s="36"/>
      <c r="D91" s="25" t="str">
        <f aca="false">IF(C91="","",INDEX(Firmalar!$C$5:$C$7,MATCH(C91,Firmalar!$A$5:$A$7,0)))</f>
        <v/>
      </c>
      <c r="E91" s="37"/>
      <c r="F91" s="36"/>
      <c r="G91" s="36"/>
      <c r="H91" s="36"/>
      <c r="I91" s="36"/>
      <c r="J91" s="36"/>
      <c r="K91" s="36"/>
      <c r="L91" s="38"/>
      <c r="M91" s="21" t="str">
        <f aca="false">IF(OR(E91="",L91=""),"",E91*L91)</f>
        <v/>
      </c>
      <c r="N91" s="36"/>
    </row>
    <row r="92" customFormat="false" ht="15" hidden="false" customHeight="false" outlineLevel="0" collapsed="false">
      <c r="A92" s="25" t="str">
        <f aca="false">IF(C92="","",ROW()-5)</f>
        <v/>
      </c>
      <c r="B92" s="35"/>
      <c r="C92" s="36"/>
      <c r="D92" s="25" t="str">
        <f aca="false">IF(C92="","",INDEX(Firmalar!$C$5:$C$7,MATCH(C92,Firmalar!$A$5:$A$7,0)))</f>
        <v/>
      </c>
      <c r="E92" s="37"/>
      <c r="F92" s="36"/>
      <c r="G92" s="36"/>
      <c r="H92" s="36"/>
      <c r="I92" s="36"/>
      <c r="J92" s="36"/>
      <c r="K92" s="36"/>
      <c r="L92" s="38"/>
      <c r="M92" s="21" t="str">
        <f aca="false">IF(OR(E92="",L92=""),"",E92*L92)</f>
        <v/>
      </c>
      <c r="N92" s="36"/>
    </row>
    <row r="93" customFormat="false" ht="15" hidden="false" customHeight="false" outlineLevel="0" collapsed="false">
      <c r="A93" s="25" t="str">
        <f aca="false">IF(C93="","",ROW()-5)</f>
        <v/>
      </c>
      <c r="B93" s="35"/>
      <c r="C93" s="36"/>
      <c r="D93" s="25" t="str">
        <f aca="false">IF(C93="","",INDEX(Firmalar!$C$5:$C$7,MATCH(C93,Firmalar!$A$5:$A$7,0)))</f>
        <v/>
      </c>
      <c r="E93" s="37"/>
      <c r="F93" s="36"/>
      <c r="G93" s="36"/>
      <c r="H93" s="36"/>
      <c r="I93" s="36"/>
      <c r="J93" s="36"/>
      <c r="K93" s="36"/>
      <c r="L93" s="38"/>
      <c r="M93" s="21" t="str">
        <f aca="false">IF(OR(E93="",L93=""),"",E93*L93)</f>
        <v/>
      </c>
      <c r="N93" s="36"/>
    </row>
    <row r="94" customFormat="false" ht="15" hidden="false" customHeight="false" outlineLevel="0" collapsed="false">
      <c r="A94" s="25" t="str">
        <f aca="false">IF(C94="","",ROW()-5)</f>
        <v/>
      </c>
      <c r="B94" s="35"/>
      <c r="C94" s="36"/>
      <c r="D94" s="25" t="str">
        <f aca="false">IF(C94="","",INDEX(Firmalar!$C$5:$C$7,MATCH(C94,Firmalar!$A$5:$A$7,0)))</f>
        <v/>
      </c>
      <c r="E94" s="37"/>
      <c r="F94" s="36"/>
      <c r="G94" s="36"/>
      <c r="H94" s="36"/>
      <c r="I94" s="36"/>
      <c r="J94" s="36"/>
      <c r="K94" s="36"/>
      <c r="L94" s="38"/>
      <c r="M94" s="21" t="str">
        <f aca="false">IF(OR(E94="",L94=""),"",E94*L94)</f>
        <v/>
      </c>
      <c r="N94" s="36"/>
    </row>
    <row r="95" customFormat="false" ht="15" hidden="false" customHeight="false" outlineLevel="0" collapsed="false">
      <c r="A95" s="25" t="str">
        <f aca="false">IF(C95="","",ROW()-5)</f>
        <v/>
      </c>
      <c r="B95" s="35"/>
      <c r="C95" s="36"/>
      <c r="D95" s="25" t="str">
        <f aca="false">IF(C95="","",INDEX(Firmalar!$C$5:$C$7,MATCH(C95,Firmalar!$A$5:$A$7,0)))</f>
        <v/>
      </c>
      <c r="E95" s="37"/>
      <c r="F95" s="36"/>
      <c r="G95" s="36"/>
      <c r="H95" s="36"/>
      <c r="I95" s="36"/>
      <c r="J95" s="36"/>
      <c r="K95" s="36"/>
      <c r="L95" s="38"/>
      <c r="M95" s="21" t="str">
        <f aca="false">IF(OR(E95="",L95=""),"",E95*L95)</f>
        <v/>
      </c>
      <c r="N95" s="36"/>
    </row>
    <row r="96" customFormat="false" ht="15" hidden="false" customHeight="false" outlineLevel="0" collapsed="false">
      <c r="A96" s="25" t="str">
        <f aca="false">IF(C96="","",ROW()-5)</f>
        <v/>
      </c>
      <c r="B96" s="35"/>
      <c r="C96" s="36"/>
      <c r="D96" s="25" t="str">
        <f aca="false">IF(C96="","",INDEX(Firmalar!$C$5:$C$7,MATCH(C96,Firmalar!$A$5:$A$7,0)))</f>
        <v/>
      </c>
      <c r="E96" s="37"/>
      <c r="F96" s="36"/>
      <c r="G96" s="36"/>
      <c r="H96" s="36"/>
      <c r="I96" s="36"/>
      <c r="J96" s="36"/>
      <c r="K96" s="36"/>
      <c r="L96" s="38"/>
      <c r="M96" s="21" t="str">
        <f aca="false">IF(OR(E96="",L96=""),"",E96*L96)</f>
        <v/>
      </c>
      <c r="N96" s="36"/>
    </row>
    <row r="97" customFormat="false" ht="15" hidden="false" customHeight="false" outlineLevel="0" collapsed="false">
      <c r="A97" s="25" t="str">
        <f aca="false">IF(C97="","",ROW()-5)</f>
        <v/>
      </c>
      <c r="B97" s="35"/>
      <c r="C97" s="36"/>
      <c r="D97" s="25" t="str">
        <f aca="false">IF(C97="","",INDEX(Firmalar!$C$5:$C$7,MATCH(C97,Firmalar!$A$5:$A$7,0)))</f>
        <v/>
      </c>
      <c r="E97" s="37"/>
      <c r="F97" s="36"/>
      <c r="G97" s="36"/>
      <c r="H97" s="36"/>
      <c r="I97" s="36"/>
      <c r="J97" s="36"/>
      <c r="K97" s="36"/>
      <c r="L97" s="38"/>
      <c r="M97" s="21" t="str">
        <f aca="false">IF(OR(E97="",L97=""),"",E97*L97)</f>
        <v/>
      </c>
      <c r="N97" s="36"/>
    </row>
    <row r="98" customFormat="false" ht="15" hidden="false" customHeight="false" outlineLevel="0" collapsed="false">
      <c r="A98" s="25" t="str">
        <f aca="false">IF(C98="","",ROW()-5)</f>
        <v/>
      </c>
      <c r="B98" s="35"/>
      <c r="C98" s="36"/>
      <c r="D98" s="25" t="str">
        <f aca="false">IF(C98="","",INDEX(Firmalar!$C$5:$C$7,MATCH(C98,Firmalar!$A$5:$A$7,0)))</f>
        <v/>
      </c>
      <c r="E98" s="37"/>
      <c r="F98" s="36"/>
      <c r="G98" s="36"/>
      <c r="H98" s="36"/>
      <c r="I98" s="36"/>
      <c r="J98" s="36"/>
      <c r="K98" s="36"/>
      <c r="L98" s="38"/>
      <c r="M98" s="21" t="str">
        <f aca="false">IF(OR(E98="",L98=""),"",E98*L98)</f>
        <v/>
      </c>
      <c r="N98" s="36"/>
    </row>
    <row r="99" customFormat="false" ht="15" hidden="false" customHeight="false" outlineLevel="0" collapsed="false">
      <c r="A99" s="25" t="str">
        <f aca="false">IF(C99="","",ROW()-5)</f>
        <v/>
      </c>
      <c r="B99" s="35"/>
      <c r="C99" s="36"/>
      <c r="D99" s="25" t="str">
        <f aca="false">IF(C99="","",INDEX(Firmalar!$C$5:$C$7,MATCH(C99,Firmalar!$A$5:$A$7,0)))</f>
        <v/>
      </c>
      <c r="E99" s="37"/>
      <c r="F99" s="36"/>
      <c r="G99" s="36"/>
      <c r="H99" s="36"/>
      <c r="I99" s="36"/>
      <c r="J99" s="36"/>
      <c r="K99" s="36"/>
      <c r="L99" s="38"/>
      <c r="M99" s="21" t="str">
        <f aca="false">IF(OR(E99="",L99=""),"",E99*L99)</f>
        <v/>
      </c>
      <c r="N99" s="36"/>
    </row>
    <row r="100" customFormat="false" ht="15" hidden="false" customHeight="false" outlineLevel="0" collapsed="false">
      <c r="A100" s="25" t="str">
        <f aca="false">IF(C100="","",ROW()-5)</f>
        <v/>
      </c>
      <c r="B100" s="35"/>
      <c r="C100" s="36"/>
      <c r="D100" s="25" t="str">
        <f aca="false">IF(C100="","",INDEX(Firmalar!$C$5:$C$7,MATCH(C100,Firmalar!$A$5:$A$7,0)))</f>
        <v/>
      </c>
      <c r="E100" s="37"/>
      <c r="F100" s="36"/>
      <c r="G100" s="36"/>
      <c r="H100" s="36"/>
      <c r="I100" s="36"/>
      <c r="J100" s="36"/>
      <c r="K100" s="36"/>
      <c r="L100" s="38"/>
      <c r="M100" s="21" t="str">
        <f aca="false">IF(OR(E100="",L100=""),"",E100*L100)</f>
        <v/>
      </c>
      <c r="N100" s="36"/>
    </row>
    <row r="101" customFormat="false" ht="15" hidden="false" customHeight="false" outlineLevel="0" collapsed="false">
      <c r="A101" s="25" t="str">
        <f aca="false">IF(C101="","",ROW()-5)</f>
        <v/>
      </c>
      <c r="B101" s="35"/>
      <c r="C101" s="36"/>
      <c r="D101" s="25" t="str">
        <f aca="false">IF(C101="","",INDEX(Firmalar!$C$5:$C$7,MATCH(C101,Firmalar!$A$5:$A$7,0)))</f>
        <v/>
      </c>
      <c r="E101" s="37"/>
      <c r="F101" s="36"/>
      <c r="G101" s="36"/>
      <c r="H101" s="36"/>
      <c r="I101" s="36"/>
      <c r="J101" s="36"/>
      <c r="K101" s="36"/>
      <c r="L101" s="38"/>
      <c r="M101" s="21" t="str">
        <f aca="false">IF(OR(E101="",L101=""),"",E101*L101)</f>
        <v/>
      </c>
      <c r="N101" s="36"/>
    </row>
    <row r="102" customFormat="false" ht="15" hidden="false" customHeight="false" outlineLevel="0" collapsed="false">
      <c r="A102" s="25" t="str">
        <f aca="false">IF(C102="","",ROW()-5)</f>
        <v/>
      </c>
      <c r="B102" s="35"/>
      <c r="C102" s="36"/>
      <c r="D102" s="25" t="str">
        <f aca="false">IF(C102="","",INDEX(Firmalar!$C$5:$C$7,MATCH(C102,Firmalar!$A$5:$A$7,0)))</f>
        <v/>
      </c>
      <c r="E102" s="37"/>
      <c r="F102" s="36"/>
      <c r="G102" s="36"/>
      <c r="H102" s="36"/>
      <c r="I102" s="36"/>
      <c r="J102" s="36"/>
      <c r="K102" s="36"/>
      <c r="L102" s="38"/>
      <c r="M102" s="21" t="str">
        <f aca="false">IF(OR(E102="",L102=""),"",E102*L102)</f>
        <v/>
      </c>
      <c r="N102" s="36"/>
    </row>
    <row r="103" customFormat="false" ht="15" hidden="false" customHeight="false" outlineLevel="0" collapsed="false">
      <c r="A103" s="25" t="str">
        <f aca="false">IF(C103="","",ROW()-5)</f>
        <v/>
      </c>
      <c r="B103" s="35"/>
      <c r="C103" s="36"/>
      <c r="D103" s="25" t="str">
        <f aca="false">IF(C103="","",INDEX(Firmalar!$C$5:$C$7,MATCH(C103,Firmalar!$A$5:$A$7,0)))</f>
        <v/>
      </c>
      <c r="E103" s="37"/>
      <c r="F103" s="36"/>
      <c r="G103" s="36"/>
      <c r="H103" s="36"/>
      <c r="I103" s="36"/>
      <c r="J103" s="36"/>
      <c r="K103" s="36"/>
      <c r="L103" s="38"/>
      <c r="M103" s="21" t="str">
        <f aca="false">IF(OR(E103="",L103=""),"",E103*L103)</f>
        <v/>
      </c>
      <c r="N103" s="36"/>
    </row>
    <row r="104" customFormat="false" ht="15" hidden="false" customHeight="false" outlineLevel="0" collapsed="false">
      <c r="A104" s="25" t="str">
        <f aca="false">IF(C104="","",ROW()-5)</f>
        <v/>
      </c>
      <c r="B104" s="35"/>
      <c r="C104" s="36"/>
      <c r="D104" s="25" t="str">
        <f aca="false">IF(C104="","",INDEX(Firmalar!$C$5:$C$7,MATCH(C104,Firmalar!$A$5:$A$7,0)))</f>
        <v/>
      </c>
      <c r="E104" s="37"/>
      <c r="F104" s="36"/>
      <c r="G104" s="36"/>
      <c r="H104" s="36"/>
      <c r="I104" s="36"/>
      <c r="J104" s="36"/>
      <c r="K104" s="36"/>
      <c r="L104" s="38"/>
      <c r="M104" s="21" t="str">
        <f aca="false">IF(OR(E104="",L104=""),"",E104*L104)</f>
        <v/>
      </c>
      <c r="N104" s="36"/>
    </row>
    <row r="105" customFormat="false" ht="15" hidden="false" customHeight="false" outlineLevel="0" collapsed="false">
      <c r="A105" s="25" t="str">
        <f aca="false">IF(C105="","",ROW()-5)</f>
        <v/>
      </c>
      <c r="B105" s="35"/>
      <c r="C105" s="36"/>
      <c r="D105" s="25" t="str">
        <f aca="false">IF(C105="","",INDEX(Firmalar!$C$5:$C$7,MATCH(C105,Firmalar!$A$5:$A$7,0)))</f>
        <v/>
      </c>
      <c r="E105" s="37"/>
      <c r="F105" s="36"/>
      <c r="G105" s="36"/>
      <c r="H105" s="36"/>
      <c r="I105" s="36"/>
      <c r="J105" s="36"/>
      <c r="K105" s="36"/>
      <c r="L105" s="38"/>
      <c r="M105" s="21" t="str">
        <f aca="false">IF(OR(E105="",L105=""),"",E105*L105)</f>
        <v/>
      </c>
      <c r="N105" s="36"/>
    </row>
    <row r="106" customFormat="false" ht="15" hidden="false" customHeight="false" outlineLevel="0" collapsed="false">
      <c r="A106" s="25" t="str">
        <f aca="false">IF(C106="","",ROW()-5)</f>
        <v/>
      </c>
      <c r="B106" s="35"/>
      <c r="C106" s="36"/>
      <c r="D106" s="25" t="str">
        <f aca="false">IF(C106="","",INDEX(Firmalar!$C$5:$C$7,MATCH(C106,Firmalar!$A$5:$A$7,0)))</f>
        <v/>
      </c>
      <c r="E106" s="37"/>
      <c r="F106" s="36"/>
      <c r="G106" s="36"/>
      <c r="H106" s="36"/>
      <c r="I106" s="36"/>
      <c r="J106" s="36"/>
      <c r="K106" s="36"/>
      <c r="L106" s="38"/>
      <c r="M106" s="21" t="str">
        <f aca="false">IF(OR(E106="",L106=""),"",E106*L106)</f>
        <v/>
      </c>
      <c r="N106" s="36"/>
    </row>
    <row r="107" customFormat="false" ht="15" hidden="false" customHeight="false" outlineLevel="0" collapsed="false">
      <c r="A107" s="25" t="str">
        <f aca="false">IF(C107="","",ROW()-5)</f>
        <v/>
      </c>
      <c r="B107" s="35"/>
      <c r="C107" s="36"/>
      <c r="D107" s="25" t="str">
        <f aca="false">IF(C107="","",INDEX(Firmalar!$C$5:$C$7,MATCH(C107,Firmalar!$A$5:$A$7,0)))</f>
        <v/>
      </c>
      <c r="E107" s="37"/>
      <c r="F107" s="36"/>
      <c r="G107" s="36"/>
      <c r="H107" s="36"/>
      <c r="I107" s="36"/>
      <c r="J107" s="36"/>
      <c r="K107" s="36"/>
      <c r="L107" s="38"/>
      <c r="M107" s="21" t="str">
        <f aca="false">IF(OR(E107="",L107=""),"",E107*L107)</f>
        <v/>
      </c>
      <c r="N107" s="36"/>
    </row>
    <row r="108" customFormat="false" ht="15" hidden="false" customHeight="false" outlineLevel="0" collapsed="false">
      <c r="A108" s="25" t="str">
        <f aca="false">IF(C108="","",ROW()-5)</f>
        <v/>
      </c>
      <c r="B108" s="35"/>
      <c r="C108" s="36"/>
      <c r="D108" s="25" t="str">
        <f aca="false">IF(C108="","",INDEX(Firmalar!$C$5:$C$7,MATCH(C108,Firmalar!$A$5:$A$7,0)))</f>
        <v/>
      </c>
      <c r="E108" s="37"/>
      <c r="F108" s="36"/>
      <c r="G108" s="36"/>
      <c r="H108" s="36"/>
      <c r="I108" s="36"/>
      <c r="J108" s="36"/>
      <c r="K108" s="36"/>
      <c r="L108" s="38"/>
      <c r="M108" s="21" t="str">
        <f aca="false">IF(OR(E108="",L108=""),"",E108*L108)</f>
        <v/>
      </c>
      <c r="N108" s="36"/>
    </row>
    <row r="109" customFormat="false" ht="15" hidden="false" customHeight="false" outlineLevel="0" collapsed="false">
      <c r="A109" s="25" t="str">
        <f aca="false">IF(C109="","",ROW()-5)</f>
        <v/>
      </c>
      <c r="B109" s="35"/>
      <c r="C109" s="36"/>
      <c r="D109" s="25" t="str">
        <f aca="false">IF(C109="","",INDEX(Firmalar!$C$5:$C$7,MATCH(C109,Firmalar!$A$5:$A$7,0)))</f>
        <v/>
      </c>
      <c r="E109" s="37"/>
      <c r="F109" s="36"/>
      <c r="G109" s="36"/>
      <c r="H109" s="36"/>
      <c r="I109" s="36"/>
      <c r="J109" s="36"/>
      <c r="K109" s="36"/>
      <c r="L109" s="38"/>
      <c r="M109" s="21" t="str">
        <f aca="false">IF(OR(E109="",L109=""),"",E109*L109)</f>
        <v/>
      </c>
      <c r="N109" s="36"/>
    </row>
    <row r="110" customFormat="false" ht="15" hidden="false" customHeight="false" outlineLevel="0" collapsed="false">
      <c r="A110" s="25" t="str">
        <f aca="false">IF(C110="","",ROW()-5)</f>
        <v/>
      </c>
      <c r="B110" s="35"/>
      <c r="C110" s="36"/>
      <c r="D110" s="25" t="str">
        <f aca="false">IF(C110="","",INDEX(Firmalar!$C$5:$C$7,MATCH(C110,Firmalar!$A$5:$A$7,0)))</f>
        <v/>
      </c>
      <c r="E110" s="37"/>
      <c r="F110" s="36"/>
      <c r="G110" s="36"/>
      <c r="H110" s="36"/>
      <c r="I110" s="36"/>
      <c r="J110" s="36"/>
      <c r="K110" s="36"/>
      <c r="L110" s="38"/>
      <c r="M110" s="21" t="str">
        <f aca="false">IF(OR(E110="",L110=""),"",E110*L110)</f>
        <v/>
      </c>
      <c r="N110" s="36"/>
    </row>
    <row r="111" customFormat="false" ht="15" hidden="false" customHeight="false" outlineLevel="0" collapsed="false">
      <c r="A111" s="25" t="str">
        <f aca="false">IF(C111="","",ROW()-5)</f>
        <v/>
      </c>
      <c r="B111" s="35"/>
      <c r="C111" s="36"/>
      <c r="D111" s="25" t="str">
        <f aca="false">IF(C111="","",INDEX(Firmalar!$C$5:$C$7,MATCH(C111,Firmalar!$A$5:$A$7,0)))</f>
        <v/>
      </c>
      <c r="E111" s="37"/>
      <c r="F111" s="36"/>
      <c r="G111" s="36"/>
      <c r="H111" s="36"/>
      <c r="I111" s="36"/>
      <c r="J111" s="36"/>
      <c r="K111" s="36"/>
      <c r="L111" s="38"/>
      <c r="M111" s="21" t="str">
        <f aca="false">IF(OR(E111="",L111=""),"",E111*L111)</f>
        <v/>
      </c>
      <c r="N111" s="36"/>
    </row>
    <row r="112" customFormat="false" ht="15" hidden="false" customHeight="false" outlineLevel="0" collapsed="false">
      <c r="A112" s="25" t="str">
        <f aca="false">IF(C112="","",ROW()-5)</f>
        <v/>
      </c>
      <c r="B112" s="35"/>
      <c r="C112" s="36"/>
      <c r="D112" s="25" t="str">
        <f aca="false">IF(C112="","",INDEX(Firmalar!$C$5:$C$7,MATCH(C112,Firmalar!$A$5:$A$7,0)))</f>
        <v/>
      </c>
      <c r="E112" s="37"/>
      <c r="F112" s="36"/>
      <c r="G112" s="36"/>
      <c r="H112" s="36"/>
      <c r="I112" s="36"/>
      <c r="J112" s="36"/>
      <c r="K112" s="36"/>
      <c r="L112" s="38"/>
      <c r="M112" s="21" t="str">
        <f aca="false">IF(OR(E112="",L112=""),"",E112*L112)</f>
        <v/>
      </c>
      <c r="N112" s="36"/>
    </row>
    <row r="113" customFormat="false" ht="15" hidden="false" customHeight="false" outlineLevel="0" collapsed="false">
      <c r="A113" s="25" t="str">
        <f aca="false">IF(C113="","",ROW()-5)</f>
        <v/>
      </c>
      <c r="B113" s="35"/>
      <c r="C113" s="36"/>
      <c r="D113" s="25" t="str">
        <f aca="false">IF(C113="","",INDEX(Firmalar!$C$5:$C$7,MATCH(C113,Firmalar!$A$5:$A$7,0)))</f>
        <v/>
      </c>
      <c r="E113" s="37"/>
      <c r="F113" s="36"/>
      <c r="G113" s="36"/>
      <c r="H113" s="36"/>
      <c r="I113" s="36"/>
      <c r="J113" s="36"/>
      <c r="K113" s="36"/>
      <c r="L113" s="38"/>
      <c r="M113" s="21" t="str">
        <f aca="false">IF(OR(E113="",L113=""),"",E113*L113)</f>
        <v/>
      </c>
      <c r="N113" s="36"/>
    </row>
    <row r="114" customFormat="false" ht="15" hidden="false" customHeight="false" outlineLevel="0" collapsed="false">
      <c r="A114" s="25" t="str">
        <f aca="false">IF(C114="","",ROW()-5)</f>
        <v/>
      </c>
      <c r="B114" s="35"/>
      <c r="C114" s="36"/>
      <c r="D114" s="25" t="str">
        <f aca="false">IF(C114="","",INDEX(Firmalar!$C$5:$C$7,MATCH(C114,Firmalar!$A$5:$A$7,0)))</f>
        <v/>
      </c>
      <c r="E114" s="37"/>
      <c r="F114" s="36"/>
      <c r="G114" s="36"/>
      <c r="H114" s="36"/>
      <c r="I114" s="36"/>
      <c r="J114" s="36"/>
      <c r="K114" s="36"/>
      <c r="L114" s="38"/>
      <c r="M114" s="21" t="str">
        <f aca="false">IF(OR(E114="",L114=""),"",E114*L114)</f>
        <v/>
      </c>
      <c r="N114" s="36"/>
    </row>
    <row r="115" customFormat="false" ht="15" hidden="false" customHeight="false" outlineLevel="0" collapsed="false">
      <c r="A115" s="25" t="str">
        <f aca="false">IF(C115="","",ROW()-5)</f>
        <v/>
      </c>
      <c r="B115" s="35"/>
      <c r="C115" s="36"/>
      <c r="D115" s="25" t="str">
        <f aca="false">IF(C115="","",INDEX(Firmalar!$C$5:$C$7,MATCH(C115,Firmalar!$A$5:$A$7,0)))</f>
        <v/>
      </c>
      <c r="E115" s="37"/>
      <c r="F115" s="36"/>
      <c r="G115" s="36"/>
      <c r="H115" s="36"/>
      <c r="I115" s="36"/>
      <c r="J115" s="36"/>
      <c r="K115" s="36"/>
      <c r="L115" s="38"/>
      <c r="M115" s="21" t="str">
        <f aca="false">IF(OR(E115="",L115=""),"",E115*L115)</f>
        <v/>
      </c>
      <c r="N115" s="36"/>
    </row>
    <row r="116" customFormat="false" ht="15" hidden="false" customHeight="false" outlineLevel="0" collapsed="false">
      <c r="A116" s="25" t="str">
        <f aca="false">IF(C116="","",ROW()-5)</f>
        <v/>
      </c>
      <c r="B116" s="35"/>
      <c r="C116" s="36"/>
      <c r="D116" s="25" t="str">
        <f aca="false">IF(C116="","",INDEX(Firmalar!$C$5:$C$7,MATCH(C116,Firmalar!$A$5:$A$7,0)))</f>
        <v/>
      </c>
      <c r="E116" s="37"/>
      <c r="F116" s="36"/>
      <c r="G116" s="36"/>
      <c r="H116" s="36"/>
      <c r="I116" s="36"/>
      <c r="J116" s="36"/>
      <c r="K116" s="36"/>
      <c r="L116" s="38"/>
      <c r="M116" s="21" t="str">
        <f aca="false">IF(OR(E116="",L116=""),"",E116*L116)</f>
        <v/>
      </c>
      <c r="N116" s="36"/>
    </row>
    <row r="117" customFormat="false" ht="15" hidden="false" customHeight="false" outlineLevel="0" collapsed="false">
      <c r="A117" s="25" t="str">
        <f aca="false">IF(C117="","",ROW()-5)</f>
        <v/>
      </c>
      <c r="B117" s="35"/>
      <c r="C117" s="36"/>
      <c r="D117" s="25" t="str">
        <f aca="false">IF(C117="","",INDEX(Firmalar!$C$5:$C$7,MATCH(C117,Firmalar!$A$5:$A$7,0)))</f>
        <v/>
      </c>
      <c r="E117" s="37"/>
      <c r="F117" s="36"/>
      <c r="G117" s="36"/>
      <c r="H117" s="36"/>
      <c r="I117" s="36"/>
      <c r="J117" s="36"/>
      <c r="K117" s="36"/>
      <c r="L117" s="38"/>
      <c r="M117" s="21" t="str">
        <f aca="false">IF(OR(E117="",L117=""),"",E117*L117)</f>
        <v/>
      </c>
      <c r="N117" s="36"/>
    </row>
    <row r="118" customFormat="false" ht="15" hidden="false" customHeight="false" outlineLevel="0" collapsed="false">
      <c r="A118" s="25" t="str">
        <f aca="false">IF(C118="","",ROW()-5)</f>
        <v/>
      </c>
      <c r="B118" s="35"/>
      <c r="C118" s="36"/>
      <c r="D118" s="25" t="str">
        <f aca="false">IF(C118="","",INDEX(Firmalar!$C$5:$C$7,MATCH(C118,Firmalar!$A$5:$A$7,0)))</f>
        <v/>
      </c>
      <c r="E118" s="37"/>
      <c r="F118" s="36"/>
      <c r="G118" s="36"/>
      <c r="H118" s="36"/>
      <c r="I118" s="36"/>
      <c r="J118" s="36"/>
      <c r="K118" s="36"/>
      <c r="L118" s="38"/>
      <c r="M118" s="21" t="str">
        <f aca="false">IF(OR(E118="",L118=""),"",E118*L118)</f>
        <v/>
      </c>
      <c r="N118" s="36"/>
    </row>
    <row r="119" customFormat="false" ht="15" hidden="false" customHeight="false" outlineLevel="0" collapsed="false">
      <c r="A119" s="25" t="str">
        <f aca="false">IF(C119="","",ROW()-5)</f>
        <v/>
      </c>
      <c r="B119" s="35"/>
      <c r="C119" s="36"/>
      <c r="D119" s="25" t="str">
        <f aca="false">IF(C119="","",INDEX(Firmalar!$C$5:$C$7,MATCH(C119,Firmalar!$A$5:$A$7,0)))</f>
        <v/>
      </c>
      <c r="E119" s="37"/>
      <c r="F119" s="36"/>
      <c r="G119" s="36"/>
      <c r="H119" s="36"/>
      <c r="I119" s="36"/>
      <c r="J119" s="36"/>
      <c r="K119" s="36"/>
      <c r="L119" s="38"/>
      <c r="M119" s="21" t="str">
        <f aca="false">IF(OR(E119="",L119=""),"",E119*L119)</f>
        <v/>
      </c>
      <c r="N119" s="36"/>
    </row>
    <row r="120" customFormat="false" ht="15" hidden="false" customHeight="false" outlineLevel="0" collapsed="false">
      <c r="A120" s="25" t="str">
        <f aca="false">IF(C120="","",ROW()-5)</f>
        <v/>
      </c>
      <c r="B120" s="35"/>
      <c r="C120" s="36"/>
      <c r="D120" s="25" t="str">
        <f aca="false">IF(C120="","",INDEX(Firmalar!$C$5:$C$7,MATCH(C120,Firmalar!$A$5:$A$7,0)))</f>
        <v/>
      </c>
      <c r="E120" s="37"/>
      <c r="F120" s="36"/>
      <c r="G120" s="36"/>
      <c r="H120" s="36"/>
      <c r="I120" s="36"/>
      <c r="J120" s="36"/>
      <c r="K120" s="36"/>
      <c r="L120" s="38"/>
      <c r="M120" s="21" t="str">
        <f aca="false">IF(OR(E120="",L120=""),"",E120*L120)</f>
        <v/>
      </c>
      <c r="N120" s="36"/>
    </row>
    <row r="121" customFormat="false" ht="15" hidden="false" customHeight="false" outlineLevel="0" collapsed="false">
      <c r="A121" s="25" t="str">
        <f aca="false">IF(C121="","",ROW()-5)</f>
        <v/>
      </c>
      <c r="B121" s="35"/>
      <c r="C121" s="36"/>
      <c r="D121" s="25" t="str">
        <f aca="false">IF(C121="","",INDEX(Firmalar!$C$5:$C$7,MATCH(C121,Firmalar!$A$5:$A$7,0)))</f>
        <v/>
      </c>
      <c r="E121" s="37"/>
      <c r="F121" s="36"/>
      <c r="G121" s="36"/>
      <c r="H121" s="36"/>
      <c r="I121" s="36"/>
      <c r="J121" s="36"/>
      <c r="K121" s="36"/>
      <c r="L121" s="38"/>
      <c r="M121" s="21" t="str">
        <f aca="false">IF(OR(E121="",L121=""),"",E121*L121)</f>
        <v/>
      </c>
      <c r="N121" s="36"/>
    </row>
    <row r="122" customFormat="false" ht="15" hidden="false" customHeight="false" outlineLevel="0" collapsed="false">
      <c r="A122" s="25" t="str">
        <f aca="false">IF(C122="","",ROW()-5)</f>
        <v/>
      </c>
      <c r="B122" s="35"/>
      <c r="C122" s="36"/>
      <c r="D122" s="25" t="str">
        <f aca="false">IF(C122="","",INDEX(Firmalar!$C$5:$C$7,MATCH(C122,Firmalar!$A$5:$A$7,0)))</f>
        <v/>
      </c>
      <c r="E122" s="37"/>
      <c r="F122" s="36"/>
      <c r="G122" s="36"/>
      <c r="H122" s="36"/>
      <c r="I122" s="36"/>
      <c r="J122" s="36"/>
      <c r="K122" s="36"/>
      <c r="L122" s="38"/>
      <c r="M122" s="21" t="str">
        <f aca="false">IF(OR(E122="",L122=""),"",E122*L122)</f>
        <v/>
      </c>
      <c r="N122" s="36"/>
    </row>
    <row r="123" customFormat="false" ht="15" hidden="false" customHeight="false" outlineLevel="0" collapsed="false">
      <c r="A123" s="25" t="str">
        <f aca="false">IF(C123="","",ROW()-5)</f>
        <v/>
      </c>
      <c r="B123" s="35"/>
      <c r="C123" s="36"/>
      <c r="D123" s="25" t="str">
        <f aca="false">IF(C123="","",INDEX(Firmalar!$C$5:$C$7,MATCH(C123,Firmalar!$A$5:$A$7,0)))</f>
        <v/>
      </c>
      <c r="E123" s="37"/>
      <c r="F123" s="36"/>
      <c r="G123" s="36"/>
      <c r="H123" s="36"/>
      <c r="I123" s="36"/>
      <c r="J123" s="36"/>
      <c r="K123" s="36"/>
      <c r="L123" s="38"/>
      <c r="M123" s="21" t="str">
        <f aca="false">IF(OR(E123="",L123=""),"",E123*L123)</f>
        <v/>
      </c>
      <c r="N123" s="36"/>
    </row>
    <row r="124" customFormat="false" ht="15" hidden="false" customHeight="false" outlineLevel="0" collapsed="false">
      <c r="A124" s="25" t="str">
        <f aca="false">IF(C124="","",ROW()-5)</f>
        <v/>
      </c>
      <c r="B124" s="35"/>
      <c r="C124" s="36"/>
      <c r="D124" s="25" t="str">
        <f aca="false">IF(C124="","",INDEX(Firmalar!$C$5:$C$7,MATCH(C124,Firmalar!$A$5:$A$7,0)))</f>
        <v/>
      </c>
      <c r="E124" s="37"/>
      <c r="F124" s="36"/>
      <c r="G124" s="36"/>
      <c r="H124" s="36"/>
      <c r="I124" s="36"/>
      <c r="J124" s="36"/>
      <c r="K124" s="36"/>
      <c r="L124" s="38"/>
      <c r="M124" s="21" t="str">
        <f aca="false">IF(OR(E124="",L124=""),"",E124*L124)</f>
        <v/>
      </c>
      <c r="N124" s="36"/>
    </row>
    <row r="125" customFormat="false" ht="15" hidden="false" customHeight="false" outlineLevel="0" collapsed="false">
      <c r="A125" s="25" t="str">
        <f aca="false">IF(C125="","",ROW()-5)</f>
        <v/>
      </c>
      <c r="B125" s="35"/>
      <c r="C125" s="36"/>
      <c r="D125" s="25" t="str">
        <f aca="false">IF(C125="","",INDEX(Firmalar!$C$5:$C$7,MATCH(C125,Firmalar!$A$5:$A$7,0)))</f>
        <v/>
      </c>
      <c r="E125" s="37"/>
      <c r="F125" s="36"/>
      <c r="G125" s="36"/>
      <c r="H125" s="36"/>
      <c r="I125" s="36"/>
      <c r="J125" s="36"/>
      <c r="K125" s="36"/>
      <c r="L125" s="38"/>
      <c r="M125" s="21" t="str">
        <f aca="false">IF(OR(E125="",L125=""),"",E125*L125)</f>
        <v/>
      </c>
      <c r="N125" s="36"/>
    </row>
    <row r="126" customFormat="false" ht="15" hidden="false" customHeight="false" outlineLevel="0" collapsed="false">
      <c r="A126" s="25" t="str">
        <f aca="false">IF(C126="","",ROW()-5)</f>
        <v/>
      </c>
      <c r="B126" s="35"/>
      <c r="C126" s="36"/>
      <c r="D126" s="25" t="str">
        <f aca="false">IF(C126="","",INDEX(Firmalar!$C$5:$C$7,MATCH(C126,Firmalar!$A$5:$A$7,0)))</f>
        <v/>
      </c>
      <c r="E126" s="37"/>
      <c r="F126" s="36"/>
      <c r="G126" s="36"/>
      <c r="H126" s="36"/>
      <c r="I126" s="36"/>
      <c r="J126" s="36"/>
      <c r="K126" s="36"/>
      <c r="L126" s="38"/>
      <c r="M126" s="21" t="str">
        <f aca="false">IF(OR(E126="",L126=""),"",E126*L126)</f>
        <v/>
      </c>
      <c r="N126" s="36"/>
    </row>
    <row r="127" customFormat="false" ht="15" hidden="false" customHeight="false" outlineLevel="0" collapsed="false">
      <c r="A127" s="25" t="str">
        <f aca="false">IF(C127="","",ROW()-5)</f>
        <v/>
      </c>
      <c r="B127" s="35"/>
      <c r="C127" s="36"/>
      <c r="D127" s="25" t="str">
        <f aca="false">IF(C127="","",INDEX(Firmalar!$C$5:$C$7,MATCH(C127,Firmalar!$A$5:$A$7,0)))</f>
        <v/>
      </c>
      <c r="E127" s="37"/>
      <c r="F127" s="36"/>
      <c r="G127" s="36"/>
      <c r="H127" s="36"/>
      <c r="I127" s="36"/>
      <c r="J127" s="36"/>
      <c r="K127" s="36"/>
      <c r="L127" s="38"/>
      <c r="M127" s="21" t="str">
        <f aca="false">IF(OR(E127="",L127=""),"",E127*L127)</f>
        <v/>
      </c>
      <c r="N127" s="36"/>
    </row>
    <row r="128" customFormat="false" ht="15" hidden="false" customHeight="false" outlineLevel="0" collapsed="false">
      <c r="A128" s="25" t="str">
        <f aca="false">IF(C128="","",ROW()-5)</f>
        <v/>
      </c>
      <c r="B128" s="35"/>
      <c r="C128" s="36"/>
      <c r="D128" s="25" t="str">
        <f aca="false">IF(C128="","",INDEX(Firmalar!$C$5:$C$7,MATCH(C128,Firmalar!$A$5:$A$7,0)))</f>
        <v/>
      </c>
      <c r="E128" s="37"/>
      <c r="F128" s="36"/>
      <c r="G128" s="36"/>
      <c r="H128" s="36"/>
      <c r="I128" s="36"/>
      <c r="J128" s="36"/>
      <c r="K128" s="36"/>
      <c r="L128" s="38"/>
      <c r="M128" s="21" t="str">
        <f aca="false">IF(OR(E128="",L128=""),"",E128*L128)</f>
        <v/>
      </c>
      <c r="N128" s="36"/>
    </row>
    <row r="129" customFormat="false" ht="15" hidden="false" customHeight="false" outlineLevel="0" collapsed="false">
      <c r="A129" s="25" t="str">
        <f aca="false">IF(C129="","",ROW()-5)</f>
        <v/>
      </c>
      <c r="B129" s="35"/>
      <c r="C129" s="36"/>
      <c r="D129" s="25" t="str">
        <f aca="false">IF(C129="","",INDEX(Firmalar!$C$5:$C$7,MATCH(C129,Firmalar!$A$5:$A$7,0)))</f>
        <v/>
      </c>
      <c r="E129" s="37"/>
      <c r="F129" s="36"/>
      <c r="G129" s="36"/>
      <c r="H129" s="36"/>
      <c r="I129" s="36"/>
      <c r="J129" s="36"/>
      <c r="K129" s="36"/>
      <c r="L129" s="38"/>
      <c r="M129" s="21" t="str">
        <f aca="false">IF(OR(E129="",L129=""),"",E129*L129)</f>
        <v/>
      </c>
      <c r="N129" s="36"/>
    </row>
    <row r="130" customFormat="false" ht="15" hidden="false" customHeight="false" outlineLevel="0" collapsed="false">
      <c r="A130" s="25" t="str">
        <f aca="false">IF(C130="","",ROW()-5)</f>
        <v/>
      </c>
      <c r="B130" s="35"/>
      <c r="C130" s="36"/>
      <c r="D130" s="25" t="str">
        <f aca="false">IF(C130="","",INDEX(Firmalar!$C$5:$C$7,MATCH(C130,Firmalar!$A$5:$A$7,0)))</f>
        <v/>
      </c>
      <c r="E130" s="37"/>
      <c r="F130" s="36"/>
      <c r="G130" s="36"/>
      <c r="H130" s="36"/>
      <c r="I130" s="36"/>
      <c r="J130" s="36"/>
      <c r="K130" s="36"/>
      <c r="L130" s="38"/>
      <c r="M130" s="21" t="str">
        <f aca="false">IF(OR(E130="",L130=""),"",E130*L130)</f>
        <v/>
      </c>
      <c r="N130" s="36"/>
    </row>
    <row r="131" customFormat="false" ht="15" hidden="false" customHeight="false" outlineLevel="0" collapsed="false">
      <c r="A131" s="25" t="str">
        <f aca="false">IF(C131="","",ROW()-5)</f>
        <v/>
      </c>
      <c r="B131" s="35"/>
      <c r="C131" s="36"/>
      <c r="D131" s="25" t="str">
        <f aca="false">IF(C131="","",INDEX(Firmalar!$C$5:$C$7,MATCH(C131,Firmalar!$A$5:$A$7,0)))</f>
        <v/>
      </c>
      <c r="E131" s="37"/>
      <c r="F131" s="36"/>
      <c r="G131" s="36"/>
      <c r="H131" s="36"/>
      <c r="I131" s="36"/>
      <c r="J131" s="36"/>
      <c r="K131" s="36"/>
      <c r="L131" s="38"/>
      <c r="M131" s="21" t="str">
        <f aca="false">IF(OR(E131="",L131=""),"",E131*L131)</f>
        <v/>
      </c>
      <c r="N131" s="36"/>
    </row>
    <row r="132" customFormat="false" ht="15" hidden="false" customHeight="false" outlineLevel="0" collapsed="false">
      <c r="A132" s="25" t="str">
        <f aca="false">IF(C132="","",ROW()-5)</f>
        <v/>
      </c>
      <c r="B132" s="35"/>
      <c r="C132" s="36"/>
      <c r="D132" s="25" t="str">
        <f aca="false">IF(C132="","",INDEX(Firmalar!$C$5:$C$7,MATCH(C132,Firmalar!$A$5:$A$7,0)))</f>
        <v/>
      </c>
      <c r="E132" s="37"/>
      <c r="F132" s="36"/>
      <c r="G132" s="36"/>
      <c r="H132" s="36"/>
      <c r="I132" s="36"/>
      <c r="J132" s="36"/>
      <c r="K132" s="36"/>
      <c r="L132" s="38"/>
      <c r="M132" s="21" t="str">
        <f aca="false">IF(OR(E132="",L132=""),"",E132*L132)</f>
        <v/>
      </c>
      <c r="N132" s="36"/>
    </row>
    <row r="133" customFormat="false" ht="15" hidden="false" customHeight="false" outlineLevel="0" collapsed="false">
      <c r="A133" s="25" t="str">
        <f aca="false">IF(C133="","",ROW()-5)</f>
        <v/>
      </c>
      <c r="B133" s="35"/>
      <c r="C133" s="36"/>
      <c r="D133" s="25" t="str">
        <f aca="false">IF(C133="","",INDEX(Firmalar!$C$5:$C$7,MATCH(C133,Firmalar!$A$5:$A$7,0)))</f>
        <v/>
      </c>
      <c r="E133" s="37"/>
      <c r="F133" s="36"/>
      <c r="G133" s="36"/>
      <c r="H133" s="36"/>
      <c r="I133" s="36"/>
      <c r="J133" s="36"/>
      <c r="K133" s="36"/>
      <c r="L133" s="38"/>
      <c r="M133" s="21" t="str">
        <f aca="false">IF(OR(E133="",L133=""),"",E133*L133)</f>
        <v/>
      </c>
      <c r="N133" s="36"/>
    </row>
    <row r="134" customFormat="false" ht="15" hidden="false" customHeight="false" outlineLevel="0" collapsed="false">
      <c r="A134" s="25" t="str">
        <f aca="false">IF(C134="","",ROW()-5)</f>
        <v/>
      </c>
      <c r="B134" s="35"/>
      <c r="C134" s="36"/>
      <c r="D134" s="25" t="str">
        <f aca="false">IF(C134="","",INDEX(Firmalar!$C$5:$C$7,MATCH(C134,Firmalar!$A$5:$A$7,0)))</f>
        <v/>
      </c>
      <c r="E134" s="37"/>
      <c r="F134" s="36"/>
      <c r="G134" s="36"/>
      <c r="H134" s="36"/>
      <c r="I134" s="36"/>
      <c r="J134" s="36"/>
      <c r="K134" s="36"/>
      <c r="L134" s="38"/>
      <c r="M134" s="21" t="str">
        <f aca="false">IF(OR(E134="",L134=""),"",E134*L134)</f>
        <v/>
      </c>
      <c r="N134" s="36"/>
    </row>
    <row r="135" customFormat="false" ht="15" hidden="false" customHeight="false" outlineLevel="0" collapsed="false">
      <c r="A135" s="25" t="str">
        <f aca="false">IF(C135="","",ROW()-5)</f>
        <v/>
      </c>
      <c r="B135" s="35"/>
      <c r="C135" s="36"/>
      <c r="D135" s="25" t="str">
        <f aca="false">IF(C135="","",INDEX(Firmalar!$C$5:$C$7,MATCH(C135,Firmalar!$A$5:$A$7,0)))</f>
        <v/>
      </c>
      <c r="E135" s="37"/>
      <c r="F135" s="36"/>
      <c r="G135" s="36"/>
      <c r="H135" s="36"/>
      <c r="I135" s="36"/>
      <c r="J135" s="36"/>
      <c r="K135" s="36"/>
      <c r="L135" s="38"/>
      <c r="M135" s="21" t="str">
        <f aca="false">IF(OR(E135="",L135=""),"",E135*L135)</f>
        <v/>
      </c>
      <c r="N135" s="36"/>
    </row>
    <row r="136" customFormat="false" ht="15" hidden="false" customHeight="false" outlineLevel="0" collapsed="false">
      <c r="A136" s="25" t="str">
        <f aca="false">IF(C136="","",ROW()-5)</f>
        <v/>
      </c>
      <c r="B136" s="35"/>
      <c r="C136" s="36"/>
      <c r="D136" s="25" t="str">
        <f aca="false">IF(C136="","",INDEX(Firmalar!$C$5:$C$7,MATCH(C136,Firmalar!$A$5:$A$7,0)))</f>
        <v/>
      </c>
      <c r="E136" s="37"/>
      <c r="F136" s="36"/>
      <c r="G136" s="36"/>
      <c r="H136" s="36"/>
      <c r="I136" s="36"/>
      <c r="J136" s="36"/>
      <c r="K136" s="36"/>
      <c r="L136" s="38"/>
      <c r="M136" s="21" t="str">
        <f aca="false">IF(OR(E136="",L136=""),"",E136*L136)</f>
        <v/>
      </c>
      <c r="N136" s="36"/>
    </row>
    <row r="137" customFormat="false" ht="15" hidden="false" customHeight="false" outlineLevel="0" collapsed="false">
      <c r="A137" s="25" t="str">
        <f aca="false">IF(C137="","",ROW()-5)</f>
        <v/>
      </c>
      <c r="B137" s="35"/>
      <c r="C137" s="36"/>
      <c r="D137" s="25" t="str">
        <f aca="false">IF(C137="","",INDEX(Firmalar!$C$5:$C$7,MATCH(C137,Firmalar!$A$5:$A$7,0)))</f>
        <v/>
      </c>
      <c r="E137" s="37"/>
      <c r="F137" s="36"/>
      <c r="G137" s="36"/>
      <c r="H137" s="36"/>
      <c r="I137" s="36"/>
      <c r="J137" s="36"/>
      <c r="K137" s="36"/>
      <c r="L137" s="38"/>
      <c r="M137" s="21" t="str">
        <f aca="false">IF(OR(E137="",L137=""),"",E137*L137)</f>
        <v/>
      </c>
      <c r="N137" s="36"/>
    </row>
    <row r="138" customFormat="false" ht="15" hidden="false" customHeight="false" outlineLevel="0" collapsed="false">
      <c r="A138" s="25" t="str">
        <f aca="false">IF(C138="","",ROW()-5)</f>
        <v/>
      </c>
      <c r="B138" s="35"/>
      <c r="C138" s="36"/>
      <c r="D138" s="25" t="str">
        <f aca="false">IF(C138="","",INDEX(Firmalar!$C$5:$C$7,MATCH(C138,Firmalar!$A$5:$A$7,0)))</f>
        <v/>
      </c>
      <c r="E138" s="37"/>
      <c r="F138" s="36"/>
      <c r="G138" s="36"/>
      <c r="H138" s="36"/>
      <c r="I138" s="36"/>
      <c r="J138" s="36"/>
      <c r="K138" s="36"/>
      <c r="L138" s="38"/>
      <c r="M138" s="21" t="str">
        <f aca="false">IF(OR(E138="",L138=""),"",E138*L138)</f>
        <v/>
      </c>
      <c r="N138" s="36"/>
    </row>
    <row r="139" customFormat="false" ht="15" hidden="false" customHeight="false" outlineLevel="0" collapsed="false">
      <c r="A139" s="25" t="str">
        <f aca="false">IF(C139="","",ROW()-5)</f>
        <v/>
      </c>
      <c r="B139" s="35"/>
      <c r="C139" s="36"/>
      <c r="D139" s="25" t="str">
        <f aca="false">IF(C139="","",INDEX(Firmalar!$C$5:$C$7,MATCH(C139,Firmalar!$A$5:$A$7,0)))</f>
        <v/>
      </c>
      <c r="E139" s="37"/>
      <c r="F139" s="36"/>
      <c r="G139" s="36"/>
      <c r="H139" s="36"/>
      <c r="I139" s="36"/>
      <c r="J139" s="36"/>
      <c r="K139" s="36"/>
      <c r="L139" s="38"/>
      <c r="M139" s="21" t="str">
        <f aca="false">IF(OR(E139="",L139=""),"",E139*L139)</f>
        <v/>
      </c>
      <c r="N139" s="36"/>
    </row>
    <row r="140" customFormat="false" ht="15" hidden="false" customHeight="false" outlineLevel="0" collapsed="false">
      <c r="A140" s="25" t="str">
        <f aca="false">IF(C140="","",ROW()-5)</f>
        <v/>
      </c>
      <c r="B140" s="35"/>
      <c r="C140" s="36"/>
      <c r="D140" s="25" t="str">
        <f aca="false">IF(C140="","",INDEX(Firmalar!$C$5:$C$7,MATCH(C140,Firmalar!$A$5:$A$7,0)))</f>
        <v/>
      </c>
      <c r="E140" s="37"/>
      <c r="F140" s="36"/>
      <c r="G140" s="36"/>
      <c r="H140" s="36"/>
      <c r="I140" s="36"/>
      <c r="J140" s="36"/>
      <c r="K140" s="36"/>
      <c r="L140" s="38"/>
      <c r="M140" s="21" t="str">
        <f aca="false">IF(OR(E140="",L140=""),"",E140*L140)</f>
        <v/>
      </c>
      <c r="N140" s="36"/>
    </row>
    <row r="141" customFormat="false" ht="15" hidden="false" customHeight="false" outlineLevel="0" collapsed="false">
      <c r="A141" s="25" t="str">
        <f aca="false">IF(C141="","",ROW()-5)</f>
        <v/>
      </c>
      <c r="B141" s="35"/>
      <c r="C141" s="36"/>
      <c r="D141" s="25" t="str">
        <f aca="false">IF(C141="","",INDEX(Firmalar!$C$5:$C$7,MATCH(C141,Firmalar!$A$5:$A$7,0)))</f>
        <v/>
      </c>
      <c r="E141" s="37"/>
      <c r="F141" s="36"/>
      <c r="G141" s="36"/>
      <c r="H141" s="36"/>
      <c r="I141" s="36"/>
      <c r="J141" s="36"/>
      <c r="K141" s="36"/>
      <c r="L141" s="38"/>
      <c r="M141" s="21" t="str">
        <f aca="false">IF(OR(E141="",L141=""),"",E141*L141)</f>
        <v/>
      </c>
      <c r="N141" s="36"/>
    </row>
    <row r="142" customFormat="false" ht="15" hidden="false" customHeight="false" outlineLevel="0" collapsed="false">
      <c r="A142" s="25" t="str">
        <f aca="false">IF(C142="","",ROW()-5)</f>
        <v/>
      </c>
      <c r="B142" s="35"/>
      <c r="C142" s="36"/>
      <c r="D142" s="25" t="str">
        <f aca="false">IF(C142="","",INDEX(Firmalar!$C$5:$C$7,MATCH(C142,Firmalar!$A$5:$A$7,0)))</f>
        <v/>
      </c>
      <c r="E142" s="37"/>
      <c r="F142" s="36"/>
      <c r="G142" s="36"/>
      <c r="H142" s="36"/>
      <c r="I142" s="36"/>
      <c r="J142" s="36"/>
      <c r="K142" s="36"/>
      <c r="L142" s="38"/>
      <c r="M142" s="21" t="str">
        <f aca="false">IF(OR(E142="",L142=""),"",E142*L142)</f>
        <v/>
      </c>
      <c r="N142" s="36"/>
    </row>
    <row r="143" customFormat="false" ht="15" hidden="false" customHeight="false" outlineLevel="0" collapsed="false">
      <c r="A143" s="25" t="str">
        <f aca="false">IF(C143="","",ROW()-5)</f>
        <v/>
      </c>
      <c r="B143" s="35"/>
      <c r="C143" s="36"/>
      <c r="D143" s="25" t="str">
        <f aca="false">IF(C143="","",INDEX(Firmalar!$C$5:$C$7,MATCH(C143,Firmalar!$A$5:$A$7,0)))</f>
        <v/>
      </c>
      <c r="E143" s="37"/>
      <c r="F143" s="36"/>
      <c r="G143" s="36"/>
      <c r="H143" s="36"/>
      <c r="I143" s="36"/>
      <c r="J143" s="36"/>
      <c r="K143" s="36"/>
      <c r="L143" s="38"/>
      <c r="M143" s="21" t="str">
        <f aca="false">IF(OR(E143="",L143=""),"",E143*L143)</f>
        <v/>
      </c>
      <c r="N143" s="36"/>
    </row>
    <row r="144" customFormat="false" ht="15" hidden="false" customHeight="false" outlineLevel="0" collapsed="false">
      <c r="A144" s="25" t="str">
        <f aca="false">IF(C144="","",ROW()-5)</f>
        <v/>
      </c>
      <c r="B144" s="35"/>
      <c r="C144" s="36"/>
      <c r="D144" s="25" t="str">
        <f aca="false">IF(C144="","",INDEX(Firmalar!$C$5:$C$7,MATCH(C144,Firmalar!$A$5:$A$7,0)))</f>
        <v/>
      </c>
      <c r="E144" s="37"/>
      <c r="F144" s="36"/>
      <c r="G144" s="36"/>
      <c r="H144" s="36"/>
      <c r="I144" s="36"/>
      <c r="J144" s="36"/>
      <c r="K144" s="36"/>
      <c r="L144" s="38"/>
      <c r="M144" s="21" t="str">
        <f aca="false">IF(OR(E144="",L144=""),"",E144*L144)</f>
        <v/>
      </c>
      <c r="N144" s="36"/>
    </row>
    <row r="145" customFormat="false" ht="15" hidden="false" customHeight="false" outlineLevel="0" collapsed="false">
      <c r="A145" s="25" t="str">
        <f aca="false">IF(C145="","",ROW()-5)</f>
        <v/>
      </c>
      <c r="B145" s="35"/>
      <c r="C145" s="36"/>
      <c r="D145" s="25" t="str">
        <f aca="false">IF(C145="","",INDEX(Firmalar!$C$5:$C$7,MATCH(C145,Firmalar!$A$5:$A$7,0)))</f>
        <v/>
      </c>
      <c r="E145" s="37"/>
      <c r="F145" s="36"/>
      <c r="G145" s="36"/>
      <c r="H145" s="36"/>
      <c r="I145" s="36"/>
      <c r="J145" s="36"/>
      <c r="K145" s="36"/>
      <c r="L145" s="38"/>
      <c r="M145" s="21" t="str">
        <f aca="false">IF(OR(E145="",L145=""),"",E145*L145)</f>
        <v/>
      </c>
      <c r="N145" s="36"/>
    </row>
    <row r="146" customFormat="false" ht="15" hidden="false" customHeight="false" outlineLevel="0" collapsed="false">
      <c r="A146" s="25" t="str">
        <f aca="false">IF(C146="","",ROW()-5)</f>
        <v/>
      </c>
      <c r="B146" s="35"/>
      <c r="C146" s="36"/>
      <c r="D146" s="25" t="str">
        <f aca="false">IF(C146="","",INDEX(Firmalar!$C$5:$C$7,MATCH(C146,Firmalar!$A$5:$A$7,0)))</f>
        <v/>
      </c>
      <c r="E146" s="37"/>
      <c r="F146" s="36"/>
      <c r="G146" s="36"/>
      <c r="H146" s="36"/>
      <c r="I146" s="36"/>
      <c r="J146" s="36"/>
      <c r="K146" s="36"/>
      <c r="L146" s="38"/>
      <c r="M146" s="21" t="str">
        <f aca="false">IF(OR(E146="",L146=""),"",E146*L146)</f>
        <v/>
      </c>
      <c r="N146" s="36"/>
    </row>
    <row r="147" customFormat="false" ht="15" hidden="false" customHeight="false" outlineLevel="0" collapsed="false">
      <c r="A147" s="25" t="str">
        <f aca="false">IF(C147="","",ROW()-5)</f>
        <v/>
      </c>
      <c r="B147" s="35"/>
      <c r="C147" s="36"/>
      <c r="D147" s="25" t="str">
        <f aca="false">IF(C147="","",INDEX(Firmalar!$C$5:$C$7,MATCH(C147,Firmalar!$A$5:$A$7,0)))</f>
        <v/>
      </c>
      <c r="E147" s="37"/>
      <c r="F147" s="36"/>
      <c r="G147" s="36"/>
      <c r="H147" s="36"/>
      <c r="I147" s="36"/>
      <c r="J147" s="36"/>
      <c r="K147" s="36"/>
      <c r="L147" s="38"/>
      <c r="M147" s="21" t="str">
        <f aca="false">IF(OR(E147="",L147=""),"",E147*L147)</f>
        <v/>
      </c>
      <c r="N147" s="36"/>
    </row>
    <row r="148" customFormat="false" ht="15" hidden="false" customHeight="false" outlineLevel="0" collapsed="false">
      <c r="A148" s="25" t="str">
        <f aca="false">IF(C148="","",ROW()-5)</f>
        <v/>
      </c>
      <c r="B148" s="35"/>
      <c r="C148" s="36"/>
      <c r="D148" s="25" t="str">
        <f aca="false">IF(C148="","",INDEX(Firmalar!$C$5:$C$7,MATCH(C148,Firmalar!$A$5:$A$7,0)))</f>
        <v/>
      </c>
      <c r="E148" s="37"/>
      <c r="F148" s="36"/>
      <c r="G148" s="36"/>
      <c r="H148" s="36"/>
      <c r="I148" s="36"/>
      <c r="J148" s="36"/>
      <c r="K148" s="36"/>
      <c r="L148" s="38"/>
      <c r="M148" s="21" t="str">
        <f aca="false">IF(OR(E148="",L148=""),"",E148*L148)</f>
        <v/>
      </c>
      <c r="N148" s="36"/>
    </row>
    <row r="149" customFormat="false" ht="15" hidden="false" customHeight="false" outlineLevel="0" collapsed="false">
      <c r="A149" s="25" t="str">
        <f aca="false">IF(C149="","",ROW()-5)</f>
        <v/>
      </c>
      <c r="B149" s="35"/>
      <c r="C149" s="36"/>
      <c r="D149" s="25" t="str">
        <f aca="false">IF(C149="","",INDEX(Firmalar!$C$5:$C$7,MATCH(C149,Firmalar!$A$5:$A$7,0)))</f>
        <v/>
      </c>
      <c r="E149" s="37"/>
      <c r="F149" s="36"/>
      <c r="G149" s="36"/>
      <c r="H149" s="36"/>
      <c r="I149" s="36"/>
      <c r="J149" s="36"/>
      <c r="K149" s="36"/>
      <c r="L149" s="38"/>
      <c r="M149" s="21" t="str">
        <f aca="false">IF(OR(E149="",L149=""),"",E149*L149)</f>
        <v/>
      </c>
      <c r="N149" s="36"/>
    </row>
    <row r="150" customFormat="false" ht="15" hidden="false" customHeight="false" outlineLevel="0" collapsed="false">
      <c r="A150" s="25" t="str">
        <f aca="false">IF(C150="","",ROW()-5)</f>
        <v/>
      </c>
      <c r="B150" s="35"/>
      <c r="C150" s="36"/>
      <c r="D150" s="25" t="str">
        <f aca="false">IF(C150="","",INDEX(Firmalar!$C$5:$C$7,MATCH(C150,Firmalar!$A$5:$A$7,0)))</f>
        <v/>
      </c>
      <c r="E150" s="37"/>
      <c r="F150" s="36"/>
      <c r="G150" s="36"/>
      <c r="H150" s="36"/>
      <c r="I150" s="36"/>
      <c r="J150" s="36"/>
      <c r="K150" s="36"/>
      <c r="L150" s="38"/>
      <c r="M150" s="21" t="str">
        <f aca="false">IF(OR(E150="",L150=""),"",E150*L150)</f>
        <v/>
      </c>
      <c r="N150" s="36"/>
    </row>
    <row r="151" customFormat="false" ht="15" hidden="false" customHeight="false" outlineLevel="0" collapsed="false">
      <c r="A151" s="25" t="str">
        <f aca="false">IF(C151="","",ROW()-5)</f>
        <v/>
      </c>
      <c r="B151" s="35"/>
      <c r="C151" s="36"/>
      <c r="D151" s="25" t="str">
        <f aca="false">IF(C151="","",INDEX(Firmalar!$C$5:$C$7,MATCH(C151,Firmalar!$A$5:$A$7,0)))</f>
        <v/>
      </c>
      <c r="E151" s="37"/>
      <c r="F151" s="36"/>
      <c r="G151" s="36"/>
      <c r="H151" s="36"/>
      <c r="I151" s="36"/>
      <c r="J151" s="36"/>
      <c r="K151" s="36"/>
      <c r="L151" s="38"/>
      <c r="M151" s="21" t="str">
        <f aca="false">IF(OR(E151="",L151=""),"",E151*L151)</f>
        <v/>
      </c>
      <c r="N151" s="36"/>
    </row>
    <row r="152" customFormat="false" ht="15" hidden="false" customHeight="false" outlineLevel="0" collapsed="false">
      <c r="A152" s="25" t="str">
        <f aca="false">IF(C152="","",ROW()-5)</f>
        <v/>
      </c>
      <c r="B152" s="35"/>
      <c r="C152" s="36"/>
      <c r="D152" s="25" t="str">
        <f aca="false">IF(C152="","",INDEX(Firmalar!$C$5:$C$7,MATCH(C152,Firmalar!$A$5:$A$7,0)))</f>
        <v/>
      </c>
      <c r="E152" s="37"/>
      <c r="F152" s="36"/>
      <c r="G152" s="36"/>
      <c r="H152" s="36"/>
      <c r="I152" s="36"/>
      <c r="J152" s="36"/>
      <c r="K152" s="36"/>
      <c r="L152" s="38"/>
      <c r="M152" s="21" t="str">
        <f aca="false">IF(OR(E152="",L152=""),"",E152*L152)</f>
        <v/>
      </c>
      <c r="N152" s="36"/>
    </row>
    <row r="153" customFormat="false" ht="15" hidden="false" customHeight="false" outlineLevel="0" collapsed="false">
      <c r="A153" s="25" t="str">
        <f aca="false">IF(C153="","",ROW()-5)</f>
        <v/>
      </c>
      <c r="B153" s="35"/>
      <c r="C153" s="36"/>
      <c r="D153" s="25" t="str">
        <f aca="false">IF(C153="","",INDEX(Firmalar!$C$5:$C$7,MATCH(C153,Firmalar!$A$5:$A$7,0)))</f>
        <v/>
      </c>
      <c r="E153" s="37"/>
      <c r="F153" s="36"/>
      <c r="G153" s="36"/>
      <c r="H153" s="36"/>
      <c r="I153" s="36"/>
      <c r="J153" s="36"/>
      <c r="K153" s="36"/>
      <c r="L153" s="38"/>
      <c r="M153" s="21" t="str">
        <f aca="false">IF(OR(E153="",L153=""),"",E153*L153)</f>
        <v/>
      </c>
      <c r="N153" s="36"/>
    </row>
    <row r="154" customFormat="false" ht="15" hidden="false" customHeight="false" outlineLevel="0" collapsed="false">
      <c r="A154" s="25" t="str">
        <f aca="false">IF(C154="","",ROW()-5)</f>
        <v/>
      </c>
      <c r="B154" s="35"/>
      <c r="C154" s="36"/>
      <c r="D154" s="25" t="str">
        <f aca="false">IF(C154="","",INDEX(Firmalar!$C$5:$C$7,MATCH(C154,Firmalar!$A$5:$A$7,0)))</f>
        <v/>
      </c>
      <c r="E154" s="37"/>
      <c r="F154" s="36"/>
      <c r="G154" s="36"/>
      <c r="H154" s="36"/>
      <c r="I154" s="36"/>
      <c r="J154" s="36"/>
      <c r="K154" s="36"/>
      <c r="L154" s="38"/>
      <c r="M154" s="21" t="str">
        <f aca="false">IF(OR(E154="",L154=""),"",E154*L154)</f>
        <v/>
      </c>
      <c r="N154" s="36"/>
    </row>
    <row r="155" customFormat="false" ht="15" hidden="false" customHeight="false" outlineLevel="0" collapsed="false">
      <c r="A155" s="25" t="str">
        <f aca="false">IF(C155="","",ROW()-5)</f>
        <v/>
      </c>
      <c r="B155" s="35"/>
      <c r="C155" s="36"/>
      <c r="D155" s="25" t="str">
        <f aca="false">IF(C155="","",INDEX(Firmalar!$C$5:$C$7,MATCH(C155,Firmalar!$A$5:$A$7,0)))</f>
        <v/>
      </c>
      <c r="E155" s="37"/>
      <c r="F155" s="36"/>
      <c r="G155" s="36"/>
      <c r="H155" s="36"/>
      <c r="I155" s="36"/>
      <c r="J155" s="36"/>
      <c r="K155" s="36"/>
      <c r="L155" s="38"/>
      <c r="M155" s="21" t="str">
        <f aca="false">IF(OR(E155="",L155=""),"",E155*L155)</f>
        <v/>
      </c>
      <c r="N155" s="36"/>
    </row>
    <row r="156" customFormat="false" ht="15" hidden="false" customHeight="false" outlineLevel="0" collapsed="false">
      <c r="A156" s="25" t="str">
        <f aca="false">IF(C156="","",ROW()-5)</f>
        <v/>
      </c>
      <c r="B156" s="35"/>
      <c r="C156" s="36"/>
      <c r="D156" s="25" t="str">
        <f aca="false">IF(C156="","",INDEX(Firmalar!$C$5:$C$7,MATCH(C156,Firmalar!$A$5:$A$7,0)))</f>
        <v/>
      </c>
      <c r="E156" s="37"/>
      <c r="F156" s="36"/>
      <c r="G156" s="36"/>
      <c r="H156" s="36"/>
      <c r="I156" s="36"/>
      <c r="J156" s="36"/>
      <c r="K156" s="36"/>
      <c r="L156" s="38"/>
      <c r="M156" s="21" t="str">
        <f aca="false">IF(OR(E156="",L156=""),"",E156*L156)</f>
        <v/>
      </c>
      <c r="N156" s="36"/>
    </row>
    <row r="157" customFormat="false" ht="15" hidden="false" customHeight="false" outlineLevel="0" collapsed="false">
      <c r="A157" s="25" t="str">
        <f aca="false">IF(C157="","",ROW()-5)</f>
        <v/>
      </c>
      <c r="B157" s="35"/>
      <c r="C157" s="36"/>
      <c r="D157" s="25" t="str">
        <f aca="false">IF(C157="","",INDEX(Firmalar!$C$5:$C$7,MATCH(C157,Firmalar!$A$5:$A$7,0)))</f>
        <v/>
      </c>
      <c r="E157" s="37"/>
      <c r="F157" s="36"/>
      <c r="G157" s="36"/>
      <c r="H157" s="36"/>
      <c r="I157" s="36"/>
      <c r="J157" s="36"/>
      <c r="K157" s="36"/>
      <c r="L157" s="38"/>
      <c r="M157" s="21" t="str">
        <f aca="false">IF(OR(E157="",L157=""),"",E157*L157)</f>
        <v/>
      </c>
      <c r="N157" s="36"/>
    </row>
    <row r="158" customFormat="false" ht="15" hidden="false" customHeight="false" outlineLevel="0" collapsed="false">
      <c r="A158" s="25" t="str">
        <f aca="false">IF(C158="","",ROW()-5)</f>
        <v/>
      </c>
      <c r="B158" s="35"/>
      <c r="C158" s="36"/>
      <c r="D158" s="25" t="str">
        <f aca="false">IF(C158="","",INDEX(Firmalar!$C$5:$C$7,MATCH(C158,Firmalar!$A$5:$A$7,0)))</f>
        <v/>
      </c>
      <c r="E158" s="37"/>
      <c r="F158" s="36"/>
      <c r="G158" s="36"/>
      <c r="H158" s="36"/>
      <c r="I158" s="36"/>
      <c r="J158" s="36"/>
      <c r="K158" s="36"/>
      <c r="L158" s="38"/>
      <c r="M158" s="21" t="str">
        <f aca="false">IF(OR(E158="",L158=""),"",E158*L158)</f>
        <v/>
      </c>
      <c r="N158" s="36"/>
    </row>
    <row r="159" customFormat="false" ht="15" hidden="false" customHeight="false" outlineLevel="0" collapsed="false">
      <c r="A159" s="25" t="str">
        <f aca="false">IF(C159="","",ROW()-5)</f>
        <v/>
      </c>
      <c r="B159" s="35"/>
      <c r="C159" s="36"/>
      <c r="D159" s="25" t="str">
        <f aca="false">IF(C159="","",INDEX(Firmalar!$C$5:$C$7,MATCH(C159,Firmalar!$A$5:$A$7,0)))</f>
        <v/>
      </c>
      <c r="E159" s="37"/>
      <c r="F159" s="36"/>
      <c r="G159" s="36"/>
      <c r="H159" s="36"/>
      <c r="I159" s="36"/>
      <c r="J159" s="36"/>
      <c r="K159" s="36"/>
      <c r="L159" s="38"/>
      <c r="M159" s="21" t="str">
        <f aca="false">IF(OR(E159="",L159=""),"",E159*L159)</f>
        <v/>
      </c>
      <c r="N159" s="36"/>
    </row>
    <row r="160" customFormat="false" ht="15" hidden="false" customHeight="false" outlineLevel="0" collapsed="false">
      <c r="A160" s="25" t="str">
        <f aca="false">IF(C160="","",ROW()-5)</f>
        <v/>
      </c>
      <c r="B160" s="35"/>
      <c r="C160" s="36"/>
      <c r="D160" s="25" t="str">
        <f aca="false">IF(C160="","",INDEX(Firmalar!$C$5:$C$7,MATCH(C160,Firmalar!$A$5:$A$7,0)))</f>
        <v/>
      </c>
      <c r="E160" s="37"/>
      <c r="F160" s="36"/>
      <c r="G160" s="36"/>
      <c r="H160" s="36"/>
      <c r="I160" s="36"/>
      <c r="J160" s="36"/>
      <c r="K160" s="36"/>
      <c r="L160" s="38"/>
      <c r="M160" s="21" t="str">
        <f aca="false">IF(OR(E160="",L160=""),"",E160*L160)</f>
        <v/>
      </c>
      <c r="N160" s="36"/>
    </row>
    <row r="161" customFormat="false" ht="15" hidden="false" customHeight="false" outlineLevel="0" collapsed="false">
      <c r="A161" s="25" t="str">
        <f aca="false">IF(C161="","",ROW()-5)</f>
        <v/>
      </c>
      <c r="B161" s="35"/>
      <c r="C161" s="36"/>
      <c r="D161" s="25" t="str">
        <f aca="false">IF(C161="","",INDEX(Firmalar!$C$5:$C$7,MATCH(C161,Firmalar!$A$5:$A$7,0)))</f>
        <v/>
      </c>
      <c r="E161" s="37"/>
      <c r="F161" s="36"/>
      <c r="G161" s="36"/>
      <c r="H161" s="36"/>
      <c r="I161" s="36"/>
      <c r="J161" s="36"/>
      <c r="K161" s="36"/>
      <c r="L161" s="38"/>
      <c r="M161" s="21" t="str">
        <f aca="false">IF(OR(E161="",L161=""),"",E161*L161)</f>
        <v/>
      </c>
      <c r="N161" s="36"/>
    </row>
    <row r="162" customFormat="false" ht="15" hidden="false" customHeight="false" outlineLevel="0" collapsed="false">
      <c r="A162" s="25" t="str">
        <f aca="false">IF(C162="","",ROW()-5)</f>
        <v/>
      </c>
      <c r="B162" s="35"/>
      <c r="C162" s="36"/>
      <c r="D162" s="25" t="str">
        <f aca="false">IF(C162="","",INDEX(Firmalar!$C$5:$C$7,MATCH(C162,Firmalar!$A$5:$A$7,0)))</f>
        <v/>
      </c>
      <c r="E162" s="37"/>
      <c r="F162" s="36"/>
      <c r="G162" s="36"/>
      <c r="H162" s="36"/>
      <c r="I162" s="36"/>
      <c r="J162" s="36"/>
      <c r="K162" s="36"/>
      <c r="L162" s="38"/>
      <c r="M162" s="21" t="str">
        <f aca="false">IF(OR(E162="",L162=""),"",E162*L162)</f>
        <v/>
      </c>
      <c r="N162" s="36"/>
    </row>
    <row r="163" customFormat="false" ht="15" hidden="false" customHeight="false" outlineLevel="0" collapsed="false">
      <c r="A163" s="25" t="str">
        <f aca="false">IF(C163="","",ROW()-5)</f>
        <v/>
      </c>
      <c r="B163" s="35"/>
      <c r="C163" s="36"/>
      <c r="D163" s="25" t="str">
        <f aca="false">IF(C163="","",INDEX(Firmalar!$C$5:$C$7,MATCH(C163,Firmalar!$A$5:$A$7,0)))</f>
        <v/>
      </c>
      <c r="E163" s="37"/>
      <c r="F163" s="36"/>
      <c r="G163" s="36"/>
      <c r="H163" s="36"/>
      <c r="I163" s="36"/>
      <c r="J163" s="36"/>
      <c r="K163" s="36"/>
      <c r="L163" s="38"/>
      <c r="M163" s="21" t="str">
        <f aca="false">IF(OR(E163="",L163=""),"",E163*L163)</f>
        <v/>
      </c>
      <c r="N163" s="36"/>
    </row>
    <row r="164" customFormat="false" ht="15" hidden="false" customHeight="false" outlineLevel="0" collapsed="false">
      <c r="A164" s="25" t="str">
        <f aca="false">IF(C164="","",ROW()-5)</f>
        <v/>
      </c>
      <c r="B164" s="35"/>
      <c r="C164" s="36"/>
      <c r="D164" s="25" t="str">
        <f aca="false">IF(C164="","",INDEX(Firmalar!$C$5:$C$7,MATCH(C164,Firmalar!$A$5:$A$7,0)))</f>
        <v/>
      </c>
      <c r="E164" s="37"/>
      <c r="F164" s="36"/>
      <c r="G164" s="36"/>
      <c r="H164" s="36"/>
      <c r="I164" s="36"/>
      <c r="J164" s="36"/>
      <c r="K164" s="36"/>
      <c r="L164" s="38"/>
      <c r="M164" s="21" t="str">
        <f aca="false">IF(OR(E164="",L164=""),"",E164*L164)</f>
        <v/>
      </c>
      <c r="N164" s="36"/>
    </row>
    <row r="165" customFormat="false" ht="15" hidden="false" customHeight="false" outlineLevel="0" collapsed="false">
      <c r="A165" s="25" t="str">
        <f aca="false">IF(C165="","",ROW()-5)</f>
        <v/>
      </c>
      <c r="B165" s="35"/>
      <c r="C165" s="36"/>
      <c r="D165" s="25" t="str">
        <f aca="false">IF(C165="","",INDEX(Firmalar!$C$5:$C$7,MATCH(C165,Firmalar!$A$5:$A$7,0)))</f>
        <v/>
      </c>
      <c r="E165" s="37"/>
      <c r="F165" s="36"/>
      <c r="G165" s="36"/>
      <c r="H165" s="36"/>
      <c r="I165" s="36"/>
      <c r="J165" s="36"/>
      <c r="K165" s="36"/>
      <c r="L165" s="38"/>
      <c r="M165" s="21" t="str">
        <f aca="false">IF(OR(E165="",L165=""),"",E165*L165)</f>
        <v/>
      </c>
      <c r="N165" s="36"/>
    </row>
    <row r="166" customFormat="false" ht="15" hidden="false" customHeight="false" outlineLevel="0" collapsed="false">
      <c r="A166" s="25" t="str">
        <f aca="false">IF(C166="","",ROW()-5)</f>
        <v/>
      </c>
      <c r="B166" s="35"/>
      <c r="C166" s="36"/>
      <c r="D166" s="25" t="str">
        <f aca="false">IF(C166="","",INDEX(Firmalar!$C$5:$C$7,MATCH(C166,Firmalar!$A$5:$A$7,0)))</f>
        <v/>
      </c>
      <c r="E166" s="37"/>
      <c r="F166" s="36"/>
      <c r="G166" s="36"/>
      <c r="H166" s="36"/>
      <c r="I166" s="36"/>
      <c r="J166" s="36"/>
      <c r="K166" s="36"/>
      <c r="L166" s="38"/>
      <c r="M166" s="21" t="str">
        <f aca="false">IF(OR(E166="",L166=""),"",E166*L166)</f>
        <v/>
      </c>
      <c r="N166" s="36"/>
    </row>
    <row r="167" customFormat="false" ht="15" hidden="false" customHeight="false" outlineLevel="0" collapsed="false">
      <c r="A167" s="25" t="str">
        <f aca="false">IF(C167="","",ROW()-5)</f>
        <v/>
      </c>
      <c r="B167" s="35"/>
      <c r="C167" s="36"/>
      <c r="D167" s="25" t="str">
        <f aca="false">IF(C167="","",INDEX(Firmalar!$C$5:$C$7,MATCH(C167,Firmalar!$A$5:$A$7,0)))</f>
        <v/>
      </c>
      <c r="E167" s="37"/>
      <c r="F167" s="36"/>
      <c r="G167" s="36"/>
      <c r="H167" s="36"/>
      <c r="I167" s="36"/>
      <c r="J167" s="36"/>
      <c r="K167" s="36"/>
      <c r="L167" s="38"/>
      <c r="M167" s="21" t="str">
        <f aca="false">IF(OR(E167="",L167=""),"",E167*L167)</f>
        <v/>
      </c>
      <c r="N167" s="36"/>
    </row>
    <row r="168" customFormat="false" ht="15" hidden="false" customHeight="false" outlineLevel="0" collapsed="false">
      <c r="A168" s="25" t="str">
        <f aca="false">IF(C168="","",ROW()-5)</f>
        <v/>
      </c>
      <c r="B168" s="35"/>
      <c r="C168" s="36"/>
      <c r="D168" s="25" t="str">
        <f aca="false">IF(C168="","",INDEX(Firmalar!$C$5:$C$7,MATCH(C168,Firmalar!$A$5:$A$7,0)))</f>
        <v/>
      </c>
      <c r="E168" s="37"/>
      <c r="F168" s="36"/>
      <c r="G168" s="36"/>
      <c r="H168" s="36"/>
      <c r="I168" s="36"/>
      <c r="J168" s="36"/>
      <c r="K168" s="36"/>
      <c r="L168" s="38"/>
      <c r="M168" s="21" t="str">
        <f aca="false">IF(OR(E168="",L168=""),"",E168*L168)</f>
        <v/>
      </c>
      <c r="N168" s="36"/>
    </row>
    <row r="169" customFormat="false" ht="15" hidden="false" customHeight="false" outlineLevel="0" collapsed="false">
      <c r="A169" s="25" t="str">
        <f aca="false">IF(C169="","",ROW()-5)</f>
        <v/>
      </c>
      <c r="B169" s="35"/>
      <c r="C169" s="36"/>
      <c r="D169" s="25" t="str">
        <f aca="false">IF(C169="","",INDEX(Firmalar!$C$5:$C$7,MATCH(C169,Firmalar!$A$5:$A$7,0)))</f>
        <v/>
      </c>
      <c r="E169" s="37"/>
      <c r="F169" s="36"/>
      <c r="G169" s="36"/>
      <c r="H169" s="36"/>
      <c r="I169" s="36"/>
      <c r="J169" s="36"/>
      <c r="K169" s="36"/>
      <c r="L169" s="38"/>
      <c r="M169" s="21" t="str">
        <f aca="false">IF(OR(E169="",L169=""),"",E169*L169)</f>
        <v/>
      </c>
      <c r="N169" s="36"/>
    </row>
    <row r="170" customFormat="false" ht="15" hidden="false" customHeight="false" outlineLevel="0" collapsed="false">
      <c r="A170" s="25" t="str">
        <f aca="false">IF(C170="","",ROW()-5)</f>
        <v/>
      </c>
      <c r="B170" s="35"/>
      <c r="C170" s="36"/>
      <c r="D170" s="25" t="str">
        <f aca="false">IF(C170="","",INDEX(Firmalar!$C$5:$C$7,MATCH(C170,Firmalar!$A$5:$A$7,0)))</f>
        <v/>
      </c>
      <c r="E170" s="37"/>
      <c r="F170" s="36"/>
      <c r="G170" s="36"/>
      <c r="H170" s="36"/>
      <c r="I170" s="36"/>
      <c r="J170" s="36"/>
      <c r="K170" s="36"/>
      <c r="L170" s="38"/>
      <c r="M170" s="21" t="str">
        <f aca="false">IF(OR(E170="",L170=""),"",E170*L170)</f>
        <v/>
      </c>
      <c r="N170" s="36"/>
    </row>
    <row r="171" customFormat="false" ht="15" hidden="false" customHeight="false" outlineLevel="0" collapsed="false">
      <c r="A171" s="25" t="str">
        <f aca="false">IF(C171="","",ROW()-5)</f>
        <v/>
      </c>
      <c r="B171" s="35"/>
      <c r="C171" s="36"/>
      <c r="D171" s="25" t="str">
        <f aca="false">IF(C171="","",INDEX(Firmalar!$C$5:$C$7,MATCH(C171,Firmalar!$A$5:$A$7,0)))</f>
        <v/>
      </c>
      <c r="E171" s="37"/>
      <c r="F171" s="36"/>
      <c r="G171" s="36"/>
      <c r="H171" s="36"/>
      <c r="I171" s="36"/>
      <c r="J171" s="36"/>
      <c r="K171" s="36"/>
      <c r="L171" s="38"/>
      <c r="M171" s="21" t="str">
        <f aca="false">IF(OR(E171="",L171=""),"",E171*L171)</f>
        <v/>
      </c>
      <c r="N171" s="36"/>
    </row>
    <row r="172" customFormat="false" ht="15" hidden="false" customHeight="false" outlineLevel="0" collapsed="false">
      <c r="A172" s="25" t="str">
        <f aca="false">IF(C172="","",ROW()-5)</f>
        <v/>
      </c>
      <c r="B172" s="35"/>
      <c r="C172" s="36"/>
      <c r="D172" s="25" t="str">
        <f aca="false">IF(C172="","",INDEX(Firmalar!$C$5:$C$7,MATCH(C172,Firmalar!$A$5:$A$7,0)))</f>
        <v/>
      </c>
      <c r="E172" s="37"/>
      <c r="F172" s="36"/>
      <c r="G172" s="36"/>
      <c r="H172" s="36"/>
      <c r="I172" s="36"/>
      <c r="J172" s="36"/>
      <c r="K172" s="36"/>
      <c r="L172" s="38"/>
      <c r="M172" s="21" t="str">
        <f aca="false">IF(OR(E172="",L172=""),"",E172*L172)</f>
        <v/>
      </c>
      <c r="N172" s="36"/>
    </row>
    <row r="173" customFormat="false" ht="15" hidden="false" customHeight="false" outlineLevel="0" collapsed="false">
      <c r="A173" s="25" t="str">
        <f aca="false">IF(C173="","",ROW()-5)</f>
        <v/>
      </c>
      <c r="B173" s="35"/>
      <c r="C173" s="36"/>
      <c r="D173" s="25" t="str">
        <f aca="false">IF(C173="","",INDEX(Firmalar!$C$5:$C$7,MATCH(C173,Firmalar!$A$5:$A$7,0)))</f>
        <v/>
      </c>
      <c r="E173" s="37"/>
      <c r="F173" s="36"/>
      <c r="G173" s="36"/>
      <c r="H173" s="36"/>
      <c r="I173" s="36"/>
      <c r="J173" s="36"/>
      <c r="K173" s="36"/>
      <c r="L173" s="38"/>
      <c r="M173" s="21" t="str">
        <f aca="false">IF(OR(E173="",L173=""),"",E173*L173)</f>
        <v/>
      </c>
      <c r="N173" s="36"/>
    </row>
    <row r="174" customFormat="false" ht="15" hidden="false" customHeight="false" outlineLevel="0" collapsed="false">
      <c r="A174" s="25" t="str">
        <f aca="false">IF(C174="","",ROW()-5)</f>
        <v/>
      </c>
      <c r="B174" s="35"/>
      <c r="C174" s="36"/>
      <c r="D174" s="25" t="str">
        <f aca="false">IF(C174="","",INDEX(Firmalar!$C$5:$C$7,MATCH(C174,Firmalar!$A$5:$A$7,0)))</f>
        <v/>
      </c>
      <c r="E174" s="37"/>
      <c r="F174" s="36"/>
      <c r="G174" s="36"/>
      <c r="H174" s="36"/>
      <c r="I174" s="36"/>
      <c r="J174" s="36"/>
      <c r="K174" s="36"/>
      <c r="L174" s="38"/>
      <c r="M174" s="21" t="str">
        <f aca="false">IF(OR(E174="",L174=""),"",E174*L174)</f>
        <v/>
      </c>
      <c r="N174" s="36"/>
    </row>
    <row r="175" customFormat="false" ht="15" hidden="false" customHeight="false" outlineLevel="0" collapsed="false">
      <c r="A175" s="25" t="str">
        <f aca="false">IF(C175="","",ROW()-5)</f>
        <v/>
      </c>
      <c r="B175" s="35"/>
      <c r="C175" s="36"/>
      <c r="D175" s="25" t="str">
        <f aca="false">IF(C175="","",INDEX(Firmalar!$C$5:$C$7,MATCH(C175,Firmalar!$A$5:$A$7,0)))</f>
        <v/>
      </c>
      <c r="E175" s="37"/>
      <c r="F175" s="36"/>
      <c r="G175" s="36"/>
      <c r="H175" s="36"/>
      <c r="I175" s="36"/>
      <c r="J175" s="36"/>
      <c r="K175" s="36"/>
      <c r="L175" s="38"/>
      <c r="M175" s="21" t="str">
        <f aca="false">IF(OR(E175="",L175=""),"",E175*L175)</f>
        <v/>
      </c>
      <c r="N175" s="36"/>
    </row>
    <row r="176" customFormat="false" ht="15" hidden="false" customHeight="false" outlineLevel="0" collapsed="false">
      <c r="A176" s="25" t="str">
        <f aca="false">IF(C176="","",ROW()-5)</f>
        <v/>
      </c>
      <c r="B176" s="35"/>
      <c r="C176" s="36"/>
      <c r="D176" s="25" t="str">
        <f aca="false">IF(C176="","",INDEX(Firmalar!$C$5:$C$7,MATCH(C176,Firmalar!$A$5:$A$7,0)))</f>
        <v/>
      </c>
      <c r="E176" s="37"/>
      <c r="F176" s="36"/>
      <c r="G176" s="36"/>
      <c r="H176" s="36"/>
      <c r="I176" s="36"/>
      <c r="J176" s="36"/>
      <c r="K176" s="36"/>
      <c r="L176" s="38"/>
      <c r="M176" s="21" t="str">
        <f aca="false">IF(OR(E176="",L176=""),"",E176*L176)</f>
        <v/>
      </c>
      <c r="N176" s="36"/>
    </row>
    <row r="177" customFormat="false" ht="15" hidden="false" customHeight="false" outlineLevel="0" collapsed="false">
      <c r="A177" s="25" t="str">
        <f aca="false">IF(C177="","",ROW()-5)</f>
        <v/>
      </c>
      <c r="B177" s="35"/>
      <c r="C177" s="36"/>
      <c r="D177" s="25" t="str">
        <f aca="false">IF(C177="","",INDEX(Firmalar!$C$5:$C$7,MATCH(C177,Firmalar!$A$5:$A$7,0)))</f>
        <v/>
      </c>
      <c r="E177" s="37"/>
      <c r="F177" s="36"/>
      <c r="G177" s="36"/>
      <c r="H177" s="36"/>
      <c r="I177" s="36"/>
      <c r="J177" s="36"/>
      <c r="K177" s="36"/>
      <c r="L177" s="38"/>
      <c r="M177" s="21" t="str">
        <f aca="false">IF(OR(E177="",L177=""),"",E177*L177)</f>
        <v/>
      </c>
      <c r="N177" s="36"/>
    </row>
    <row r="178" customFormat="false" ht="15" hidden="false" customHeight="false" outlineLevel="0" collapsed="false">
      <c r="A178" s="25" t="str">
        <f aca="false">IF(C178="","",ROW()-5)</f>
        <v/>
      </c>
      <c r="B178" s="35"/>
      <c r="C178" s="36"/>
      <c r="D178" s="25" t="str">
        <f aca="false">IF(C178="","",INDEX(Firmalar!$C$5:$C$7,MATCH(C178,Firmalar!$A$5:$A$7,0)))</f>
        <v/>
      </c>
      <c r="E178" s="37"/>
      <c r="F178" s="36"/>
      <c r="G178" s="36"/>
      <c r="H178" s="36"/>
      <c r="I178" s="36"/>
      <c r="J178" s="36"/>
      <c r="K178" s="36"/>
      <c r="L178" s="38"/>
      <c r="M178" s="21" t="str">
        <f aca="false">IF(OR(E178="",L178=""),"",E178*L178)</f>
        <v/>
      </c>
      <c r="N178" s="36"/>
    </row>
    <row r="179" customFormat="false" ht="15" hidden="false" customHeight="false" outlineLevel="0" collapsed="false">
      <c r="A179" s="25" t="str">
        <f aca="false">IF(C179="","",ROW()-5)</f>
        <v/>
      </c>
      <c r="B179" s="35"/>
      <c r="C179" s="36"/>
      <c r="D179" s="25" t="str">
        <f aca="false">IF(C179="","",INDEX(Firmalar!$C$5:$C$7,MATCH(C179,Firmalar!$A$5:$A$7,0)))</f>
        <v/>
      </c>
      <c r="E179" s="37"/>
      <c r="F179" s="36"/>
      <c r="G179" s="36"/>
      <c r="H179" s="36"/>
      <c r="I179" s="36"/>
      <c r="J179" s="36"/>
      <c r="K179" s="36"/>
      <c r="L179" s="38"/>
      <c r="M179" s="21" t="str">
        <f aca="false">IF(OR(E179="",L179=""),"",E179*L179)</f>
        <v/>
      </c>
      <c r="N179" s="36"/>
    </row>
    <row r="180" customFormat="false" ht="15" hidden="false" customHeight="false" outlineLevel="0" collapsed="false">
      <c r="A180" s="25" t="str">
        <f aca="false">IF(C180="","",ROW()-5)</f>
        <v/>
      </c>
      <c r="B180" s="35"/>
      <c r="C180" s="36"/>
      <c r="D180" s="25" t="str">
        <f aca="false">IF(C180="","",INDEX(Firmalar!$C$5:$C$7,MATCH(C180,Firmalar!$A$5:$A$7,0)))</f>
        <v/>
      </c>
      <c r="E180" s="37"/>
      <c r="F180" s="36"/>
      <c r="G180" s="36"/>
      <c r="H180" s="36"/>
      <c r="I180" s="36"/>
      <c r="J180" s="36"/>
      <c r="K180" s="36"/>
      <c r="L180" s="38"/>
      <c r="M180" s="21" t="str">
        <f aca="false">IF(OR(E180="",L180=""),"",E180*L180)</f>
        <v/>
      </c>
      <c r="N180" s="36"/>
    </row>
    <row r="181" customFormat="false" ht="15" hidden="false" customHeight="false" outlineLevel="0" collapsed="false">
      <c r="A181" s="25" t="str">
        <f aca="false">IF(C181="","",ROW()-5)</f>
        <v/>
      </c>
      <c r="B181" s="35"/>
      <c r="C181" s="36"/>
      <c r="D181" s="25" t="str">
        <f aca="false">IF(C181="","",INDEX(Firmalar!$C$5:$C$7,MATCH(C181,Firmalar!$A$5:$A$7,0)))</f>
        <v/>
      </c>
      <c r="E181" s="37"/>
      <c r="F181" s="36"/>
      <c r="G181" s="36"/>
      <c r="H181" s="36"/>
      <c r="I181" s="36"/>
      <c r="J181" s="36"/>
      <c r="K181" s="36"/>
      <c r="L181" s="38"/>
      <c r="M181" s="21" t="str">
        <f aca="false">IF(OR(E181="",L181=""),"",E181*L181)</f>
        <v/>
      </c>
      <c r="N181" s="36"/>
    </row>
    <row r="182" customFormat="false" ht="15" hidden="false" customHeight="false" outlineLevel="0" collapsed="false">
      <c r="A182" s="25" t="str">
        <f aca="false">IF(C182="","",ROW()-5)</f>
        <v/>
      </c>
      <c r="B182" s="35"/>
      <c r="C182" s="36"/>
      <c r="D182" s="25" t="str">
        <f aca="false">IF(C182="","",INDEX(Firmalar!$C$5:$C$7,MATCH(C182,Firmalar!$A$5:$A$7,0)))</f>
        <v/>
      </c>
      <c r="E182" s="37"/>
      <c r="F182" s="36"/>
      <c r="G182" s="36"/>
      <c r="H182" s="36"/>
      <c r="I182" s="36"/>
      <c r="J182" s="36"/>
      <c r="K182" s="36"/>
      <c r="L182" s="38"/>
      <c r="M182" s="21" t="str">
        <f aca="false">IF(OR(E182="",L182=""),"",E182*L182)</f>
        <v/>
      </c>
      <c r="N182" s="36"/>
    </row>
    <row r="183" customFormat="false" ht="15" hidden="false" customHeight="false" outlineLevel="0" collapsed="false">
      <c r="A183" s="25" t="str">
        <f aca="false">IF(C183="","",ROW()-5)</f>
        <v/>
      </c>
      <c r="B183" s="35"/>
      <c r="C183" s="36"/>
      <c r="D183" s="25" t="str">
        <f aca="false">IF(C183="","",INDEX(Firmalar!$C$5:$C$7,MATCH(C183,Firmalar!$A$5:$A$7,0)))</f>
        <v/>
      </c>
      <c r="E183" s="37"/>
      <c r="F183" s="36"/>
      <c r="G183" s="36"/>
      <c r="H183" s="36"/>
      <c r="I183" s="36"/>
      <c r="J183" s="36"/>
      <c r="K183" s="36"/>
      <c r="L183" s="38"/>
      <c r="M183" s="21" t="str">
        <f aca="false">IF(OR(E183="",L183=""),"",E183*L183)</f>
        <v/>
      </c>
      <c r="N183" s="36"/>
    </row>
    <row r="184" customFormat="false" ht="15" hidden="false" customHeight="false" outlineLevel="0" collapsed="false">
      <c r="A184" s="25" t="str">
        <f aca="false">IF(C184="","",ROW()-5)</f>
        <v/>
      </c>
      <c r="B184" s="35"/>
      <c r="C184" s="36"/>
      <c r="D184" s="25" t="str">
        <f aca="false">IF(C184="","",INDEX(Firmalar!$C$5:$C$7,MATCH(C184,Firmalar!$A$5:$A$7,0)))</f>
        <v/>
      </c>
      <c r="E184" s="37"/>
      <c r="F184" s="36"/>
      <c r="G184" s="36"/>
      <c r="H184" s="36"/>
      <c r="I184" s="36"/>
      <c r="J184" s="36"/>
      <c r="K184" s="36"/>
      <c r="L184" s="38"/>
      <c r="M184" s="21" t="str">
        <f aca="false">IF(OR(E184="",L184=""),"",E184*L184)</f>
        <v/>
      </c>
      <c r="N184" s="36"/>
    </row>
    <row r="185" customFormat="false" ht="15" hidden="false" customHeight="false" outlineLevel="0" collapsed="false">
      <c r="A185" s="25" t="str">
        <f aca="false">IF(C185="","",ROW()-5)</f>
        <v/>
      </c>
      <c r="B185" s="35"/>
      <c r="C185" s="36"/>
      <c r="D185" s="25" t="str">
        <f aca="false">IF(C185="","",INDEX(Firmalar!$C$5:$C$7,MATCH(C185,Firmalar!$A$5:$A$7,0)))</f>
        <v/>
      </c>
      <c r="E185" s="37"/>
      <c r="F185" s="36"/>
      <c r="G185" s="36"/>
      <c r="H185" s="36"/>
      <c r="I185" s="36"/>
      <c r="J185" s="36"/>
      <c r="K185" s="36"/>
      <c r="L185" s="38"/>
      <c r="M185" s="21" t="str">
        <f aca="false">IF(OR(E185="",L185=""),"",E185*L185)</f>
        <v/>
      </c>
      <c r="N185" s="36"/>
    </row>
    <row r="186" customFormat="false" ht="15" hidden="false" customHeight="false" outlineLevel="0" collapsed="false">
      <c r="A186" s="25" t="str">
        <f aca="false">IF(C186="","",ROW()-5)</f>
        <v/>
      </c>
      <c r="B186" s="35"/>
      <c r="C186" s="36"/>
      <c r="D186" s="25" t="str">
        <f aca="false">IF(C186="","",INDEX(Firmalar!$C$5:$C$7,MATCH(C186,Firmalar!$A$5:$A$7,0)))</f>
        <v/>
      </c>
      <c r="E186" s="37"/>
      <c r="F186" s="36"/>
      <c r="G186" s="36"/>
      <c r="H186" s="36"/>
      <c r="I186" s="36"/>
      <c r="J186" s="36"/>
      <c r="K186" s="36"/>
      <c r="L186" s="38"/>
      <c r="M186" s="21" t="str">
        <f aca="false">IF(OR(E186="",L186=""),"",E186*L186)</f>
        <v/>
      </c>
      <c r="N186" s="36"/>
    </row>
    <row r="187" customFormat="false" ht="15" hidden="false" customHeight="false" outlineLevel="0" collapsed="false">
      <c r="A187" s="25" t="str">
        <f aca="false">IF(C187="","",ROW()-5)</f>
        <v/>
      </c>
      <c r="B187" s="35"/>
      <c r="C187" s="36"/>
      <c r="D187" s="25" t="str">
        <f aca="false">IF(C187="","",INDEX(Firmalar!$C$5:$C$7,MATCH(C187,Firmalar!$A$5:$A$7,0)))</f>
        <v/>
      </c>
      <c r="E187" s="37"/>
      <c r="F187" s="36"/>
      <c r="G187" s="36"/>
      <c r="H187" s="36"/>
      <c r="I187" s="36"/>
      <c r="J187" s="36"/>
      <c r="K187" s="36"/>
      <c r="L187" s="38"/>
      <c r="M187" s="21" t="str">
        <f aca="false">IF(OR(E187="",L187=""),"",E187*L187)</f>
        <v/>
      </c>
      <c r="N187" s="36"/>
    </row>
    <row r="188" customFormat="false" ht="15" hidden="false" customHeight="false" outlineLevel="0" collapsed="false">
      <c r="A188" s="25" t="str">
        <f aca="false">IF(C188="","",ROW()-5)</f>
        <v/>
      </c>
      <c r="B188" s="35"/>
      <c r="C188" s="36"/>
      <c r="D188" s="25" t="str">
        <f aca="false">IF(C188="","",INDEX(Firmalar!$C$5:$C$7,MATCH(C188,Firmalar!$A$5:$A$7,0)))</f>
        <v/>
      </c>
      <c r="E188" s="37"/>
      <c r="F188" s="36"/>
      <c r="G188" s="36"/>
      <c r="H188" s="36"/>
      <c r="I188" s="36"/>
      <c r="J188" s="36"/>
      <c r="K188" s="36"/>
      <c r="L188" s="38"/>
      <c r="M188" s="21" t="str">
        <f aca="false">IF(OR(E188="",L188=""),"",E188*L188)</f>
        <v/>
      </c>
      <c r="N188" s="36"/>
    </row>
    <row r="189" customFormat="false" ht="15" hidden="false" customHeight="false" outlineLevel="0" collapsed="false">
      <c r="A189" s="25" t="str">
        <f aca="false">IF(C189="","",ROW()-5)</f>
        <v/>
      </c>
      <c r="B189" s="35"/>
      <c r="C189" s="36"/>
      <c r="D189" s="25" t="str">
        <f aca="false">IF(C189="","",INDEX(Firmalar!$C$5:$C$7,MATCH(C189,Firmalar!$A$5:$A$7,0)))</f>
        <v/>
      </c>
      <c r="E189" s="37"/>
      <c r="F189" s="36"/>
      <c r="G189" s="36"/>
      <c r="H189" s="36"/>
      <c r="I189" s="36"/>
      <c r="J189" s="36"/>
      <c r="K189" s="36"/>
      <c r="L189" s="38"/>
      <c r="M189" s="21" t="str">
        <f aca="false">IF(OR(E189="",L189=""),"",E189*L189)</f>
        <v/>
      </c>
      <c r="N189" s="36"/>
    </row>
    <row r="190" customFormat="false" ht="15" hidden="false" customHeight="false" outlineLevel="0" collapsed="false">
      <c r="A190" s="25" t="str">
        <f aca="false">IF(C190="","",ROW()-5)</f>
        <v/>
      </c>
      <c r="B190" s="35"/>
      <c r="C190" s="36"/>
      <c r="D190" s="25" t="str">
        <f aca="false">IF(C190="","",INDEX(Firmalar!$C$5:$C$7,MATCH(C190,Firmalar!$A$5:$A$7,0)))</f>
        <v/>
      </c>
      <c r="E190" s="37"/>
      <c r="F190" s="36"/>
      <c r="G190" s="36"/>
      <c r="H190" s="36"/>
      <c r="I190" s="36"/>
      <c r="J190" s="36"/>
      <c r="K190" s="36"/>
      <c r="L190" s="38"/>
      <c r="M190" s="21" t="str">
        <f aca="false">IF(OR(E190="",L190=""),"",E190*L190)</f>
        <v/>
      </c>
      <c r="N190" s="36"/>
    </row>
    <row r="191" customFormat="false" ht="15" hidden="false" customHeight="false" outlineLevel="0" collapsed="false">
      <c r="A191" s="25" t="str">
        <f aca="false">IF(C191="","",ROW()-5)</f>
        <v/>
      </c>
      <c r="B191" s="35"/>
      <c r="C191" s="36"/>
      <c r="D191" s="25" t="str">
        <f aca="false">IF(C191="","",INDEX(Firmalar!$C$5:$C$7,MATCH(C191,Firmalar!$A$5:$A$7,0)))</f>
        <v/>
      </c>
      <c r="E191" s="37"/>
      <c r="F191" s="36"/>
      <c r="G191" s="36"/>
      <c r="H191" s="36"/>
      <c r="I191" s="36"/>
      <c r="J191" s="36"/>
      <c r="K191" s="36"/>
      <c r="L191" s="38"/>
      <c r="M191" s="21" t="str">
        <f aca="false">IF(OR(E191="",L191=""),"",E191*L191)</f>
        <v/>
      </c>
      <c r="N191" s="36"/>
    </row>
    <row r="192" customFormat="false" ht="15" hidden="false" customHeight="false" outlineLevel="0" collapsed="false">
      <c r="A192" s="25" t="str">
        <f aca="false">IF(C192="","",ROW()-5)</f>
        <v/>
      </c>
      <c r="B192" s="35"/>
      <c r="C192" s="36"/>
      <c r="D192" s="25" t="str">
        <f aca="false">IF(C192="","",INDEX(Firmalar!$C$5:$C$7,MATCH(C192,Firmalar!$A$5:$A$7,0)))</f>
        <v/>
      </c>
      <c r="E192" s="37"/>
      <c r="F192" s="36"/>
      <c r="G192" s="36"/>
      <c r="H192" s="36"/>
      <c r="I192" s="36"/>
      <c r="J192" s="36"/>
      <c r="K192" s="36"/>
      <c r="L192" s="38"/>
      <c r="M192" s="21" t="str">
        <f aca="false">IF(OR(E192="",L192=""),"",E192*L192)</f>
        <v/>
      </c>
      <c r="N192" s="36"/>
    </row>
    <row r="193" customFormat="false" ht="15" hidden="false" customHeight="false" outlineLevel="0" collapsed="false">
      <c r="A193" s="25" t="str">
        <f aca="false">IF(C193="","",ROW()-5)</f>
        <v/>
      </c>
      <c r="B193" s="35"/>
      <c r="C193" s="36"/>
      <c r="D193" s="25" t="str">
        <f aca="false">IF(C193="","",INDEX(Firmalar!$C$5:$C$7,MATCH(C193,Firmalar!$A$5:$A$7,0)))</f>
        <v/>
      </c>
      <c r="E193" s="37"/>
      <c r="F193" s="36"/>
      <c r="G193" s="36"/>
      <c r="H193" s="36"/>
      <c r="I193" s="36"/>
      <c r="J193" s="36"/>
      <c r="K193" s="36"/>
      <c r="L193" s="38"/>
      <c r="M193" s="21" t="str">
        <f aca="false">IF(OR(E193="",L193=""),"",E193*L193)</f>
        <v/>
      </c>
      <c r="N193" s="36"/>
    </row>
    <row r="194" customFormat="false" ht="15" hidden="false" customHeight="false" outlineLevel="0" collapsed="false">
      <c r="A194" s="25" t="str">
        <f aca="false">IF(C194="","",ROW()-5)</f>
        <v/>
      </c>
      <c r="B194" s="35"/>
      <c r="C194" s="36"/>
      <c r="D194" s="25" t="str">
        <f aca="false">IF(C194="","",INDEX(Firmalar!$C$5:$C$7,MATCH(C194,Firmalar!$A$5:$A$7,0)))</f>
        <v/>
      </c>
      <c r="E194" s="37"/>
      <c r="F194" s="36"/>
      <c r="G194" s="36"/>
      <c r="H194" s="36"/>
      <c r="I194" s="36"/>
      <c r="J194" s="36"/>
      <c r="K194" s="36"/>
      <c r="L194" s="38"/>
      <c r="M194" s="21" t="str">
        <f aca="false">IF(OR(E194="",L194=""),"",E194*L194)</f>
        <v/>
      </c>
      <c r="N194" s="36"/>
    </row>
    <row r="195" customFormat="false" ht="15" hidden="false" customHeight="false" outlineLevel="0" collapsed="false">
      <c r="A195" s="25" t="str">
        <f aca="false">IF(C195="","",ROW()-5)</f>
        <v/>
      </c>
      <c r="B195" s="35"/>
      <c r="C195" s="36"/>
      <c r="D195" s="25" t="str">
        <f aca="false">IF(C195="","",INDEX(Firmalar!$C$5:$C$7,MATCH(C195,Firmalar!$A$5:$A$7,0)))</f>
        <v/>
      </c>
      <c r="E195" s="37"/>
      <c r="F195" s="36"/>
      <c r="G195" s="36"/>
      <c r="H195" s="36"/>
      <c r="I195" s="36"/>
      <c r="J195" s="36"/>
      <c r="K195" s="36"/>
      <c r="L195" s="38"/>
      <c r="M195" s="21" t="str">
        <f aca="false">IF(OR(E195="",L195=""),"",E195*L195)</f>
        <v/>
      </c>
      <c r="N195" s="36"/>
    </row>
    <row r="196" customFormat="false" ht="15" hidden="false" customHeight="false" outlineLevel="0" collapsed="false">
      <c r="A196" s="25" t="str">
        <f aca="false">IF(C196="","",ROW()-5)</f>
        <v/>
      </c>
      <c r="B196" s="35"/>
      <c r="C196" s="36"/>
      <c r="D196" s="25" t="str">
        <f aca="false">IF(C196="","",INDEX(Firmalar!$C$5:$C$7,MATCH(C196,Firmalar!$A$5:$A$7,0)))</f>
        <v/>
      </c>
      <c r="E196" s="37"/>
      <c r="F196" s="36"/>
      <c r="G196" s="36"/>
      <c r="H196" s="36"/>
      <c r="I196" s="36"/>
      <c r="J196" s="36"/>
      <c r="K196" s="36"/>
      <c r="L196" s="38"/>
      <c r="M196" s="21" t="str">
        <f aca="false">IF(OR(E196="",L196=""),"",E196*L196)</f>
        <v/>
      </c>
      <c r="N196" s="36"/>
    </row>
    <row r="197" customFormat="false" ht="15" hidden="false" customHeight="false" outlineLevel="0" collapsed="false">
      <c r="A197" s="25" t="str">
        <f aca="false">IF(C197="","",ROW()-5)</f>
        <v/>
      </c>
      <c r="B197" s="35"/>
      <c r="C197" s="36"/>
      <c r="D197" s="25" t="str">
        <f aca="false">IF(C197="","",INDEX(Firmalar!$C$5:$C$7,MATCH(C197,Firmalar!$A$5:$A$7,0)))</f>
        <v/>
      </c>
      <c r="E197" s="37"/>
      <c r="F197" s="36"/>
      <c r="G197" s="36"/>
      <c r="H197" s="36"/>
      <c r="I197" s="36"/>
      <c r="J197" s="36"/>
      <c r="K197" s="36"/>
      <c r="L197" s="38"/>
      <c r="M197" s="21" t="str">
        <f aca="false">IF(OR(E197="",L197=""),"",E197*L197)</f>
        <v/>
      </c>
      <c r="N197" s="36"/>
    </row>
    <row r="198" customFormat="false" ht="15" hidden="false" customHeight="false" outlineLevel="0" collapsed="false">
      <c r="A198" s="25" t="str">
        <f aca="false">IF(C198="","",ROW()-5)</f>
        <v/>
      </c>
      <c r="B198" s="35"/>
      <c r="C198" s="36"/>
      <c r="D198" s="25" t="str">
        <f aca="false">IF(C198="","",INDEX(Firmalar!$C$5:$C$7,MATCH(C198,Firmalar!$A$5:$A$7,0)))</f>
        <v/>
      </c>
      <c r="E198" s="37"/>
      <c r="F198" s="36"/>
      <c r="G198" s="36"/>
      <c r="H198" s="36"/>
      <c r="I198" s="36"/>
      <c r="J198" s="36"/>
      <c r="K198" s="36"/>
      <c r="L198" s="38"/>
      <c r="M198" s="21" t="str">
        <f aca="false">IF(OR(E198="",L198=""),"",E198*L198)</f>
        <v/>
      </c>
      <c r="N198" s="36"/>
    </row>
    <row r="199" customFormat="false" ht="15" hidden="false" customHeight="false" outlineLevel="0" collapsed="false">
      <c r="A199" s="25" t="str">
        <f aca="false">IF(C199="","",ROW()-5)</f>
        <v/>
      </c>
      <c r="B199" s="35"/>
      <c r="C199" s="36"/>
      <c r="D199" s="25" t="str">
        <f aca="false">IF(C199="","",INDEX(Firmalar!$C$5:$C$7,MATCH(C199,Firmalar!$A$5:$A$7,0)))</f>
        <v/>
      </c>
      <c r="E199" s="37"/>
      <c r="F199" s="36"/>
      <c r="G199" s="36"/>
      <c r="H199" s="36"/>
      <c r="I199" s="36"/>
      <c r="J199" s="36"/>
      <c r="K199" s="36"/>
      <c r="L199" s="38"/>
      <c r="M199" s="21" t="str">
        <f aca="false">IF(OR(E199="",L199=""),"",E199*L199)</f>
        <v/>
      </c>
      <c r="N199" s="36"/>
    </row>
    <row r="200" customFormat="false" ht="15" hidden="false" customHeight="false" outlineLevel="0" collapsed="false">
      <c r="A200" s="25" t="str">
        <f aca="false">IF(C200="","",ROW()-5)</f>
        <v/>
      </c>
      <c r="B200" s="35"/>
      <c r="C200" s="36"/>
      <c r="D200" s="25" t="str">
        <f aca="false">IF(C200="","",INDEX(Firmalar!$C$5:$C$7,MATCH(C200,Firmalar!$A$5:$A$7,0)))</f>
        <v/>
      </c>
      <c r="E200" s="37"/>
      <c r="F200" s="36"/>
      <c r="G200" s="36"/>
      <c r="H200" s="36"/>
      <c r="I200" s="36"/>
      <c r="J200" s="36"/>
      <c r="K200" s="36"/>
      <c r="L200" s="38"/>
      <c r="M200" s="21" t="str">
        <f aca="false">IF(OR(E200="",L200=""),"",E200*L200)</f>
        <v/>
      </c>
      <c r="N200" s="36"/>
    </row>
    <row r="201" customFormat="false" ht="15" hidden="false" customHeight="false" outlineLevel="0" collapsed="false">
      <c r="A201" s="25" t="str">
        <f aca="false">IF(C201="","",ROW()-5)</f>
        <v/>
      </c>
      <c r="B201" s="35"/>
      <c r="C201" s="36"/>
      <c r="D201" s="25" t="str">
        <f aca="false">IF(C201="","",INDEX(Firmalar!$C$5:$C$7,MATCH(C201,Firmalar!$A$5:$A$7,0)))</f>
        <v/>
      </c>
      <c r="E201" s="37"/>
      <c r="F201" s="36"/>
      <c r="G201" s="36"/>
      <c r="H201" s="36"/>
      <c r="I201" s="36"/>
      <c r="J201" s="36"/>
      <c r="K201" s="36"/>
      <c r="L201" s="38"/>
      <c r="M201" s="21" t="str">
        <f aca="false">IF(OR(E201="",L201=""),"",E201*L201)</f>
        <v/>
      </c>
      <c r="N201" s="36"/>
    </row>
    <row r="202" customFormat="false" ht="15" hidden="false" customHeight="false" outlineLevel="0" collapsed="false">
      <c r="A202" s="25" t="str">
        <f aca="false">IF(C202="","",ROW()-5)</f>
        <v/>
      </c>
      <c r="B202" s="35"/>
      <c r="C202" s="36"/>
      <c r="D202" s="25" t="str">
        <f aca="false">IF(C202="","",INDEX(Firmalar!$C$5:$C$7,MATCH(C202,Firmalar!$A$5:$A$7,0)))</f>
        <v/>
      </c>
      <c r="E202" s="37"/>
      <c r="F202" s="36"/>
      <c r="G202" s="36"/>
      <c r="H202" s="36"/>
      <c r="I202" s="36"/>
      <c r="J202" s="36"/>
      <c r="K202" s="36"/>
      <c r="L202" s="38"/>
      <c r="M202" s="21" t="str">
        <f aca="false">IF(OR(E202="",L202=""),"",E202*L202)</f>
        <v/>
      </c>
      <c r="N202" s="36"/>
    </row>
    <row r="203" customFormat="false" ht="15" hidden="false" customHeight="false" outlineLevel="0" collapsed="false">
      <c r="A203" s="25" t="str">
        <f aca="false">IF(C203="","",ROW()-5)</f>
        <v/>
      </c>
      <c r="B203" s="35"/>
      <c r="C203" s="36"/>
      <c r="D203" s="25" t="str">
        <f aca="false">IF(C203="","",INDEX(Firmalar!$C$5:$C$7,MATCH(C203,Firmalar!$A$5:$A$7,0)))</f>
        <v/>
      </c>
      <c r="E203" s="37"/>
      <c r="F203" s="36"/>
      <c r="G203" s="36"/>
      <c r="H203" s="36"/>
      <c r="I203" s="36"/>
      <c r="J203" s="36"/>
      <c r="K203" s="36"/>
      <c r="L203" s="38"/>
      <c r="M203" s="21" t="str">
        <f aca="false">IF(OR(E203="",L203=""),"",E203*L203)</f>
        <v/>
      </c>
      <c r="N203" s="36"/>
    </row>
    <row r="204" customFormat="false" ht="15" hidden="false" customHeight="false" outlineLevel="0" collapsed="false">
      <c r="A204" s="25" t="str">
        <f aca="false">IF(C204="","",ROW()-5)</f>
        <v/>
      </c>
      <c r="B204" s="35"/>
      <c r="C204" s="36"/>
      <c r="D204" s="25" t="str">
        <f aca="false">IF(C204="","",INDEX(Firmalar!$C$5:$C$7,MATCH(C204,Firmalar!$A$5:$A$7,0)))</f>
        <v/>
      </c>
      <c r="E204" s="37"/>
      <c r="F204" s="36"/>
      <c r="G204" s="36"/>
      <c r="H204" s="36"/>
      <c r="I204" s="36"/>
      <c r="J204" s="36"/>
      <c r="K204" s="36"/>
      <c r="L204" s="38"/>
      <c r="M204" s="21" t="str">
        <f aca="false">IF(OR(E204="",L204=""),"",E204*L204)</f>
        <v/>
      </c>
      <c r="N204" s="36"/>
    </row>
    <row r="205" customFormat="false" ht="15" hidden="false" customHeight="false" outlineLevel="0" collapsed="false">
      <c r="A205" s="25" t="str">
        <f aca="false">IF(C205="","",ROW()-5)</f>
        <v/>
      </c>
      <c r="B205" s="35"/>
      <c r="C205" s="36"/>
      <c r="D205" s="25" t="str">
        <f aca="false">IF(C205="","",INDEX(Firmalar!$C$5:$C$7,MATCH(C205,Firmalar!$A$5:$A$7,0)))</f>
        <v/>
      </c>
      <c r="E205" s="37"/>
      <c r="F205" s="36"/>
      <c r="G205" s="36"/>
      <c r="H205" s="36"/>
      <c r="I205" s="36"/>
      <c r="J205" s="36"/>
      <c r="K205" s="36"/>
      <c r="L205" s="38"/>
      <c r="M205" s="21" t="str">
        <f aca="false">IF(OR(E205="",L205=""),"",E205*L205)</f>
        <v/>
      </c>
      <c r="N205" s="36"/>
    </row>
    <row r="206" customFormat="false" ht="15" hidden="false" customHeight="false" outlineLevel="0" collapsed="false">
      <c r="A206" s="25" t="str">
        <f aca="false">IF(C206="","",ROW()-5)</f>
        <v/>
      </c>
      <c r="B206" s="35"/>
      <c r="C206" s="36"/>
      <c r="D206" s="25" t="str">
        <f aca="false">IF(C206="","",INDEX(Firmalar!$C$5:$C$7,MATCH(C206,Firmalar!$A$5:$A$7,0)))</f>
        <v/>
      </c>
      <c r="E206" s="37"/>
      <c r="F206" s="36"/>
      <c r="G206" s="36"/>
      <c r="H206" s="36"/>
      <c r="I206" s="36"/>
      <c r="J206" s="36"/>
      <c r="K206" s="36"/>
      <c r="L206" s="38"/>
      <c r="M206" s="21" t="str">
        <f aca="false">IF(OR(E206="",L206=""),"",E206*L206)</f>
        <v/>
      </c>
      <c r="N206" s="36"/>
    </row>
    <row r="207" customFormat="false" ht="15" hidden="false" customHeight="false" outlineLevel="0" collapsed="false">
      <c r="A207" s="25" t="str">
        <f aca="false">IF(C207="","",ROW()-5)</f>
        <v/>
      </c>
      <c r="B207" s="35"/>
      <c r="C207" s="36"/>
      <c r="D207" s="25" t="str">
        <f aca="false">IF(C207="","",INDEX(Firmalar!$C$5:$C$7,MATCH(C207,Firmalar!$A$5:$A$7,0)))</f>
        <v/>
      </c>
      <c r="E207" s="37"/>
      <c r="F207" s="36"/>
      <c r="G207" s="36"/>
      <c r="H207" s="36"/>
      <c r="I207" s="36"/>
      <c r="J207" s="36"/>
      <c r="K207" s="36"/>
      <c r="L207" s="38"/>
      <c r="M207" s="21" t="str">
        <f aca="false">IF(OR(E207="",L207=""),"",E207*L207)</f>
        <v/>
      </c>
      <c r="N207" s="36"/>
    </row>
    <row r="208" customFormat="false" ht="15" hidden="false" customHeight="false" outlineLevel="0" collapsed="false">
      <c r="A208" s="25" t="str">
        <f aca="false">IF(C208="","",ROW()-5)</f>
        <v/>
      </c>
      <c r="B208" s="35"/>
      <c r="C208" s="36"/>
      <c r="D208" s="25" t="str">
        <f aca="false">IF(C208="","",INDEX(Firmalar!$C$5:$C$7,MATCH(C208,Firmalar!$A$5:$A$7,0)))</f>
        <v/>
      </c>
      <c r="E208" s="37"/>
      <c r="F208" s="36"/>
      <c r="G208" s="36"/>
      <c r="H208" s="36"/>
      <c r="I208" s="36"/>
      <c r="J208" s="36"/>
      <c r="K208" s="36"/>
      <c r="L208" s="38"/>
      <c r="M208" s="21" t="str">
        <f aca="false">IF(OR(E208="",L208=""),"",E208*L208)</f>
        <v/>
      </c>
      <c r="N208" s="36"/>
    </row>
    <row r="209" customFormat="false" ht="15" hidden="false" customHeight="false" outlineLevel="0" collapsed="false">
      <c r="A209" s="25" t="str">
        <f aca="false">IF(C209="","",ROW()-5)</f>
        <v/>
      </c>
      <c r="B209" s="35"/>
      <c r="C209" s="36"/>
      <c r="D209" s="25" t="str">
        <f aca="false">IF(C209="","",INDEX(Firmalar!$C$5:$C$7,MATCH(C209,Firmalar!$A$5:$A$7,0)))</f>
        <v/>
      </c>
      <c r="E209" s="37"/>
      <c r="F209" s="36"/>
      <c r="G209" s="36"/>
      <c r="H209" s="36"/>
      <c r="I209" s="36"/>
      <c r="J209" s="36"/>
      <c r="K209" s="36"/>
      <c r="L209" s="38"/>
      <c r="M209" s="21" t="str">
        <f aca="false">IF(OR(E209="",L209=""),"",E209*L209)</f>
        <v/>
      </c>
      <c r="N209" s="36"/>
    </row>
    <row r="210" customFormat="false" ht="15" hidden="false" customHeight="false" outlineLevel="0" collapsed="false">
      <c r="A210" s="25" t="str">
        <f aca="false">IF(C210="","",ROW()-5)</f>
        <v/>
      </c>
      <c r="B210" s="35"/>
      <c r="C210" s="36"/>
      <c r="D210" s="25" t="str">
        <f aca="false">IF(C210="","",INDEX(Firmalar!$C$5:$C$7,MATCH(C210,Firmalar!$A$5:$A$7,0)))</f>
        <v/>
      </c>
      <c r="E210" s="37"/>
      <c r="F210" s="36"/>
      <c r="G210" s="36"/>
      <c r="H210" s="36"/>
      <c r="I210" s="36"/>
      <c r="J210" s="36"/>
      <c r="K210" s="36"/>
      <c r="L210" s="38"/>
      <c r="M210" s="21" t="str">
        <f aca="false">IF(OR(E210="",L210=""),"",E210*L210)</f>
        <v/>
      </c>
      <c r="N210" s="36"/>
    </row>
    <row r="211" customFormat="false" ht="15" hidden="false" customHeight="false" outlineLevel="0" collapsed="false">
      <c r="A211" s="25" t="str">
        <f aca="false">IF(C211="","",ROW()-5)</f>
        <v/>
      </c>
      <c r="B211" s="35"/>
      <c r="C211" s="36"/>
      <c r="D211" s="25" t="str">
        <f aca="false">IF(C211="","",INDEX(Firmalar!$C$5:$C$7,MATCH(C211,Firmalar!$A$5:$A$7,0)))</f>
        <v/>
      </c>
      <c r="E211" s="37"/>
      <c r="F211" s="36"/>
      <c r="G211" s="36"/>
      <c r="H211" s="36"/>
      <c r="I211" s="36"/>
      <c r="J211" s="36"/>
      <c r="K211" s="36"/>
      <c r="L211" s="38"/>
      <c r="M211" s="21" t="str">
        <f aca="false">IF(OR(E211="",L211=""),"",E211*L211)</f>
        <v/>
      </c>
      <c r="N211" s="36"/>
    </row>
    <row r="212" customFormat="false" ht="15" hidden="false" customHeight="false" outlineLevel="0" collapsed="false">
      <c r="A212" s="25" t="str">
        <f aca="false">IF(C212="","",ROW()-5)</f>
        <v/>
      </c>
      <c r="B212" s="35"/>
      <c r="C212" s="36"/>
      <c r="D212" s="25" t="str">
        <f aca="false">IF(C212="","",INDEX(Firmalar!$C$5:$C$7,MATCH(C212,Firmalar!$A$5:$A$7,0)))</f>
        <v/>
      </c>
      <c r="E212" s="37"/>
      <c r="F212" s="36"/>
      <c r="G212" s="36"/>
      <c r="H212" s="36"/>
      <c r="I212" s="36"/>
      <c r="J212" s="36"/>
      <c r="K212" s="36"/>
      <c r="L212" s="38"/>
      <c r="M212" s="21" t="str">
        <f aca="false">IF(OR(E212="",L212=""),"",E212*L212)</f>
        <v/>
      </c>
      <c r="N212" s="36"/>
    </row>
    <row r="213" customFormat="false" ht="15" hidden="false" customHeight="false" outlineLevel="0" collapsed="false">
      <c r="A213" s="25" t="str">
        <f aca="false">IF(C213="","",ROW()-5)</f>
        <v/>
      </c>
      <c r="B213" s="35"/>
      <c r="C213" s="36"/>
      <c r="D213" s="25" t="str">
        <f aca="false">IF(C213="","",INDEX(Firmalar!$C$5:$C$7,MATCH(C213,Firmalar!$A$5:$A$7,0)))</f>
        <v/>
      </c>
      <c r="E213" s="37"/>
      <c r="F213" s="36"/>
      <c r="G213" s="36"/>
      <c r="H213" s="36"/>
      <c r="I213" s="36"/>
      <c r="J213" s="36"/>
      <c r="K213" s="36"/>
      <c r="L213" s="38"/>
      <c r="M213" s="21" t="str">
        <f aca="false">IF(OR(E213="",L213=""),"",E213*L213)</f>
        <v/>
      </c>
      <c r="N213" s="36"/>
    </row>
    <row r="214" customFormat="false" ht="15" hidden="false" customHeight="false" outlineLevel="0" collapsed="false">
      <c r="A214" s="25" t="str">
        <f aca="false">IF(C214="","",ROW()-5)</f>
        <v/>
      </c>
      <c r="B214" s="35"/>
      <c r="C214" s="36"/>
      <c r="D214" s="25" t="str">
        <f aca="false">IF(C214="","",INDEX(Firmalar!$C$5:$C$7,MATCH(C214,Firmalar!$A$5:$A$7,0)))</f>
        <v/>
      </c>
      <c r="E214" s="37"/>
      <c r="F214" s="36"/>
      <c r="G214" s="36"/>
      <c r="H214" s="36"/>
      <c r="I214" s="36"/>
      <c r="J214" s="36"/>
      <c r="K214" s="36"/>
      <c r="L214" s="38"/>
      <c r="M214" s="21" t="str">
        <f aca="false">IF(OR(E214="",L214=""),"",E214*L214)</f>
        <v/>
      </c>
      <c r="N214" s="36"/>
    </row>
    <row r="215" customFormat="false" ht="15" hidden="false" customHeight="false" outlineLevel="0" collapsed="false">
      <c r="A215" s="25" t="str">
        <f aca="false">IF(C215="","",ROW()-5)</f>
        <v/>
      </c>
      <c r="B215" s="35"/>
      <c r="C215" s="36"/>
      <c r="D215" s="25" t="str">
        <f aca="false">IF(C215="","",INDEX(Firmalar!$C$5:$C$7,MATCH(C215,Firmalar!$A$5:$A$7,0)))</f>
        <v/>
      </c>
      <c r="E215" s="37"/>
      <c r="F215" s="36"/>
      <c r="G215" s="36"/>
      <c r="H215" s="36"/>
      <c r="I215" s="36"/>
      <c r="J215" s="36"/>
      <c r="K215" s="36"/>
      <c r="L215" s="38"/>
      <c r="M215" s="21" t="str">
        <f aca="false">IF(OR(E215="",L215=""),"",E215*L215)</f>
        <v/>
      </c>
      <c r="N215" s="36"/>
    </row>
    <row r="216" customFormat="false" ht="15" hidden="false" customHeight="false" outlineLevel="0" collapsed="false">
      <c r="A216" s="25" t="str">
        <f aca="false">IF(C216="","",ROW()-5)</f>
        <v/>
      </c>
      <c r="B216" s="35"/>
      <c r="C216" s="36"/>
      <c r="D216" s="25" t="str">
        <f aca="false">IF(C216="","",INDEX(Firmalar!$C$5:$C$7,MATCH(C216,Firmalar!$A$5:$A$7,0)))</f>
        <v/>
      </c>
      <c r="E216" s="37"/>
      <c r="F216" s="36"/>
      <c r="G216" s="36"/>
      <c r="H216" s="36"/>
      <c r="I216" s="36"/>
      <c r="J216" s="36"/>
      <c r="K216" s="36"/>
      <c r="L216" s="38"/>
      <c r="M216" s="21" t="str">
        <f aca="false">IF(OR(E216="",L216=""),"",E216*L216)</f>
        <v/>
      </c>
      <c r="N216" s="36"/>
    </row>
    <row r="217" customFormat="false" ht="15" hidden="false" customHeight="false" outlineLevel="0" collapsed="false">
      <c r="A217" s="25" t="str">
        <f aca="false">IF(C217="","",ROW()-5)</f>
        <v/>
      </c>
      <c r="B217" s="35"/>
      <c r="C217" s="36"/>
      <c r="D217" s="25" t="str">
        <f aca="false">IF(C217="","",INDEX(Firmalar!$C$5:$C$7,MATCH(C217,Firmalar!$A$5:$A$7,0)))</f>
        <v/>
      </c>
      <c r="E217" s="37"/>
      <c r="F217" s="36"/>
      <c r="G217" s="36"/>
      <c r="H217" s="36"/>
      <c r="I217" s="36"/>
      <c r="J217" s="36"/>
      <c r="K217" s="36"/>
      <c r="L217" s="38"/>
      <c r="M217" s="21" t="str">
        <f aca="false">IF(OR(E217="",L217=""),"",E217*L217)</f>
        <v/>
      </c>
      <c r="N217" s="36"/>
    </row>
    <row r="218" customFormat="false" ht="15" hidden="false" customHeight="false" outlineLevel="0" collapsed="false">
      <c r="A218" s="25" t="str">
        <f aca="false">IF(C218="","",ROW()-5)</f>
        <v/>
      </c>
      <c r="B218" s="35"/>
      <c r="C218" s="36"/>
      <c r="D218" s="25" t="str">
        <f aca="false">IF(C218="","",INDEX(Firmalar!$C$5:$C$7,MATCH(C218,Firmalar!$A$5:$A$7,0)))</f>
        <v/>
      </c>
      <c r="E218" s="37"/>
      <c r="F218" s="36"/>
      <c r="G218" s="36"/>
      <c r="H218" s="36"/>
      <c r="I218" s="36"/>
      <c r="J218" s="36"/>
      <c r="K218" s="36"/>
      <c r="L218" s="38"/>
      <c r="M218" s="21" t="str">
        <f aca="false">IF(OR(E218="",L218=""),"",E218*L218)</f>
        <v/>
      </c>
      <c r="N218" s="36"/>
    </row>
    <row r="219" customFormat="false" ht="15" hidden="false" customHeight="false" outlineLevel="0" collapsed="false">
      <c r="A219" s="25" t="str">
        <f aca="false">IF(C219="","",ROW()-5)</f>
        <v/>
      </c>
      <c r="B219" s="35"/>
      <c r="C219" s="36"/>
      <c r="D219" s="25" t="str">
        <f aca="false">IF(C219="","",INDEX(Firmalar!$C$5:$C$7,MATCH(C219,Firmalar!$A$5:$A$7,0)))</f>
        <v/>
      </c>
      <c r="E219" s="37"/>
      <c r="F219" s="36"/>
      <c r="G219" s="36"/>
      <c r="H219" s="36"/>
      <c r="I219" s="36"/>
      <c r="J219" s="36"/>
      <c r="K219" s="36"/>
      <c r="L219" s="38"/>
      <c r="M219" s="21" t="str">
        <f aca="false">IF(OR(E219="",L219=""),"",E219*L219)</f>
        <v/>
      </c>
      <c r="N219" s="36"/>
    </row>
    <row r="220" customFormat="false" ht="15" hidden="false" customHeight="false" outlineLevel="0" collapsed="false">
      <c r="A220" s="25" t="str">
        <f aca="false">IF(C220="","",ROW()-5)</f>
        <v/>
      </c>
      <c r="B220" s="35"/>
      <c r="C220" s="36"/>
      <c r="D220" s="25" t="str">
        <f aca="false">IF(C220="","",INDEX(Firmalar!$C$5:$C$7,MATCH(C220,Firmalar!$A$5:$A$7,0)))</f>
        <v/>
      </c>
      <c r="E220" s="37"/>
      <c r="F220" s="36"/>
      <c r="G220" s="36"/>
      <c r="H220" s="36"/>
      <c r="I220" s="36"/>
      <c r="J220" s="36"/>
      <c r="K220" s="36"/>
      <c r="L220" s="38"/>
      <c r="M220" s="21" t="str">
        <f aca="false">IF(OR(E220="",L220=""),"",E220*L220)</f>
        <v/>
      </c>
      <c r="N220" s="36"/>
    </row>
    <row r="221" customFormat="false" ht="15" hidden="false" customHeight="false" outlineLevel="0" collapsed="false">
      <c r="A221" s="25" t="str">
        <f aca="false">IF(C221="","",ROW()-5)</f>
        <v/>
      </c>
      <c r="B221" s="35"/>
      <c r="C221" s="36"/>
      <c r="D221" s="25" t="str">
        <f aca="false">IF(C221="","",INDEX(Firmalar!$C$5:$C$7,MATCH(C221,Firmalar!$A$5:$A$7,0)))</f>
        <v/>
      </c>
      <c r="E221" s="37"/>
      <c r="F221" s="36"/>
      <c r="G221" s="36"/>
      <c r="H221" s="36"/>
      <c r="I221" s="36"/>
      <c r="J221" s="36"/>
      <c r="K221" s="36"/>
      <c r="L221" s="38"/>
      <c r="M221" s="21" t="str">
        <f aca="false">IF(OR(E221="",L221=""),"",E221*L221)</f>
        <v/>
      </c>
      <c r="N221" s="36"/>
    </row>
    <row r="222" customFormat="false" ht="15" hidden="false" customHeight="false" outlineLevel="0" collapsed="false">
      <c r="A222" s="25" t="str">
        <f aca="false">IF(C222="","",ROW()-5)</f>
        <v/>
      </c>
      <c r="B222" s="35"/>
      <c r="C222" s="36"/>
      <c r="D222" s="25" t="str">
        <f aca="false">IF(C222="","",INDEX(Firmalar!$C$5:$C$7,MATCH(C222,Firmalar!$A$5:$A$7,0)))</f>
        <v/>
      </c>
      <c r="E222" s="37"/>
      <c r="F222" s="36"/>
      <c r="G222" s="36"/>
      <c r="H222" s="36"/>
      <c r="I222" s="36"/>
      <c r="J222" s="36"/>
      <c r="K222" s="36"/>
      <c r="L222" s="38"/>
      <c r="M222" s="21" t="str">
        <f aca="false">IF(OR(E222="",L222=""),"",E222*L222)</f>
        <v/>
      </c>
      <c r="N222" s="36"/>
    </row>
    <row r="223" customFormat="false" ht="15" hidden="false" customHeight="false" outlineLevel="0" collapsed="false">
      <c r="A223" s="25" t="str">
        <f aca="false">IF(C223="","",ROW()-5)</f>
        <v/>
      </c>
      <c r="B223" s="35"/>
      <c r="C223" s="36"/>
      <c r="D223" s="25" t="str">
        <f aca="false">IF(C223="","",INDEX(Firmalar!$C$5:$C$7,MATCH(C223,Firmalar!$A$5:$A$7,0)))</f>
        <v/>
      </c>
      <c r="E223" s="37"/>
      <c r="F223" s="36"/>
      <c r="G223" s="36"/>
      <c r="H223" s="36"/>
      <c r="I223" s="36"/>
      <c r="J223" s="36"/>
      <c r="K223" s="36"/>
      <c r="L223" s="38"/>
      <c r="M223" s="21" t="str">
        <f aca="false">IF(OR(E223="",L223=""),"",E223*L223)</f>
        <v/>
      </c>
      <c r="N223" s="36"/>
    </row>
    <row r="224" customFormat="false" ht="15" hidden="false" customHeight="false" outlineLevel="0" collapsed="false">
      <c r="A224" s="25" t="str">
        <f aca="false">IF(C224="","",ROW()-5)</f>
        <v/>
      </c>
      <c r="B224" s="35"/>
      <c r="C224" s="36"/>
      <c r="D224" s="25" t="str">
        <f aca="false">IF(C224="","",INDEX(Firmalar!$C$5:$C$7,MATCH(C224,Firmalar!$A$5:$A$7,0)))</f>
        <v/>
      </c>
      <c r="E224" s="37"/>
      <c r="F224" s="36"/>
      <c r="G224" s="36"/>
      <c r="H224" s="36"/>
      <c r="I224" s="36"/>
      <c r="J224" s="36"/>
      <c r="K224" s="36"/>
      <c r="L224" s="38"/>
      <c r="M224" s="21" t="str">
        <f aca="false">IF(OR(E224="",L224=""),"",E224*L224)</f>
        <v/>
      </c>
      <c r="N224" s="36"/>
    </row>
    <row r="225" customFormat="false" ht="15" hidden="false" customHeight="false" outlineLevel="0" collapsed="false">
      <c r="A225" s="25" t="str">
        <f aca="false">IF(C225="","",ROW()-5)</f>
        <v/>
      </c>
      <c r="B225" s="35"/>
      <c r="C225" s="36"/>
      <c r="D225" s="25" t="str">
        <f aca="false">IF(C225="","",INDEX(Firmalar!$C$5:$C$7,MATCH(C225,Firmalar!$A$5:$A$7,0)))</f>
        <v/>
      </c>
      <c r="E225" s="37"/>
      <c r="F225" s="36"/>
      <c r="G225" s="36"/>
      <c r="H225" s="36"/>
      <c r="I225" s="36"/>
      <c r="J225" s="36"/>
      <c r="K225" s="36"/>
      <c r="L225" s="38"/>
      <c r="M225" s="21" t="str">
        <f aca="false">IF(OR(E225="",L225=""),"",E225*L225)</f>
        <v/>
      </c>
      <c r="N225" s="36"/>
    </row>
    <row r="226" customFormat="false" ht="15" hidden="false" customHeight="false" outlineLevel="0" collapsed="false">
      <c r="A226" s="25" t="str">
        <f aca="false">IF(C226="","",ROW()-5)</f>
        <v/>
      </c>
      <c r="B226" s="35"/>
      <c r="C226" s="36"/>
      <c r="D226" s="25" t="str">
        <f aca="false">IF(C226="","",INDEX(Firmalar!$C$5:$C$7,MATCH(C226,Firmalar!$A$5:$A$7,0)))</f>
        <v/>
      </c>
      <c r="E226" s="37"/>
      <c r="F226" s="36"/>
      <c r="G226" s="36"/>
      <c r="H226" s="36"/>
      <c r="I226" s="36"/>
      <c r="J226" s="36"/>
      <c r="K226" s="36"/>
      <c r="L226" s="38"/>
      <c r="M226" s="21" t="str">
        <f aca="false">IF(OR(E226="",L226=""),"",E226*L226)</f>
        <v/>
      </c>
      <c r="N226" s="36"/>
    </row>
    <row r="227" customFormat="false" ht="15" hidden="false" customHeight="false" outlineLevel="0" collapsed="false">
      <c r="A227" s="25" t="str">
        <f aca="false">IF(C227="","",ROW()-5)</f>
        <v/>
      </c>
      <c r="B227" s="35"/>
      <c r="C227" s="36"/>
      <c r="D227" s="25" t="str">
        <f aca="false">IF(C227="","",INDEX(Firmalar!$C$5:$C$7,MATCH(C227,Firmalar!$A$5:$A$7,0)))</f>
        <v/>
      </c>
      <c r="E227" s="37"/>
      <c r="F227" s="36"/>
      <c r="G227" s="36"/>
      <c r="H227" s="36"/>
      <c r="I227" s="36"/>
      <c r="J227" s="36"/>
      <c r="K227" s="36"/>
      <c r="L227" s="38"/>
      <c r="M227" s="21" t="str">
        <f aca="false">IF(OR(E227="",L227=""),"",E227*L227)</f>
        <v/>
      </c>
      <c r="N227" s="36"/>
    </row>
    <row r="228" customFormat="false" ht="15" hidden="false" customHeight="false" outlineLevel="0" collapsed="false">
      <c r="A228" s="25" t="str">
        <f aca="false">IF(C228="","",ROW()-5)</f>
        <v/>
      </c>
      <c r="B228" s="35"/>
      <c r="C228" s="36"/>
      <c r="D228" s="25" t="str">
        <f aca="false">IF(C228="","",INDEX(Firmalar!$C$5:$C$7,MATCH(C228,Firmalar!$A$5:$A$7,0)))</f>
        <v/>
      </c>
      <c r="E228" s="37"/>
      <c r="F228" s="36"/>
      <c r="G228" s="36"/>
      <c r="H228" s="36"/>
      <c r="I228" s="36"/>
      <c r="J228" s="36"/>
      <c r="K228" s="36"/>
      <c r="L228" s="38"/>
      <c r="M228" s="21" t="str">
        <f aca="false">IF(OR(E228="",L228=""),"",E228*L228)</f>
        <v/>
      </c>
      <c r="N228" s="36"/>
    </row>
    <row r="229" customFormat="false" ht="15" hidden="false" customHeight="false" outlineLevel="0" collapsed="false">
      <c r="A229" s="25" t="str">
        <f aca="false">IF(C229="","",ROW()-5)</f>
        <v/>
      </c>
      <c r="B229" s="35"/>
      <c r="C229" s="36"/>
      <c r="D229" s="25" t="str">
        <f aca="false">IF(C229="","",INDEX(Firmalar!$C$5:$C$7,MATCH(C229,Firmalar!$A$5:$A$7,0)))</f>
        <v/>
      </c>
      <c r="E229" s="37"/>
      <c r="F229" s="36"/>
      <c r="G229" s="36"/>
      <c r="H229" s="36"/>
      <c r="I229" s="36"/>
      <c r="J229" s="36"/>
      <c r="K229" s="36"/>
      <c r="L229" s="38"/>
      <c r="M229" s="21" t="str">
        <f aca="false">IF(OR(E229="",L229=""),"",E229*L229)</f>
        <v/>
      </c>
      <c r="N229" s="36"/>
    </row>
    <row r="230" customFormat="false" ht="15" hidden="false" customHeight="false" outlineLevel="0" collapsed="false">
      <c r="A230" s="25" t="str">
        <f aca="false">IF(C230="","",ROW()-5)</f>
        <v/>
      </c>
      <c r="B230" s="35"/>
      <c r="C230" s="36"/>
      <c r="D230" s="25" t="str">
        <f aca="false">IF(C230="","",INDEX(Firmalar!$C$5:$C$7,MATCH(C230,Firmalar!$A$5:$A$7,0)))</f>
        <v/>
      </c>
      <c r="E230" s="37"/>
      <c r="F230" s="36"/>
      <c r="G230" s="36"/>
      <c r="H230" s="36"/>
      <c r="I230" s="36"/>
      <c r="J230" s="36"/>
      <c r="K230" s="36"/>
      <c r="L230" s="38"/>
      <c r="M230" s="21" t="str">
        <f aca="false">IF(OR(E230="",L230=""),"",E230*L230)</f>
        <v/>
      </c>
      <c r="N230" s="36"/>
    </row>
    <row r="231" customFormat="false" ht="15" hidden="false" customHeight="false" outlineLevel="0" collapsed="false">
      <c r="A231" s="25" t="str">
        <f aca="false">IF(C231="","",ROW()-5)</f>
        <v/>
      </c>
      <c r="B231" s="35"/>
      <c r="C231" s="36"/>
      <c r="D231" s="25" t="str">
        <f aca="false">IF(C231="","",INDEX(Firmalar!$C$5:$C$7,MATCH(C231,Firmalar!$A$5:$A$7,0)))</f>
        <v/>
      </c>
      <c r="E231" s="37"/>
      <c r="F231" s="36"/>
      <c r="G231" s="36"/>
      <c r="H231" s="36"/>
      <c r="I231" s="36"/>
      <c r="J231" s="36"/>
      <c r="K231" s="36"/>
      <c r="L231" s="38"/>
      <c r="M231" s="21" t="str">
        <f aca="false">IF(OR(E231="",L231=""),"",E231*L231)</f>
        <v/>
      </c>
      <c r="N231" s="36"/>
    </row>
    <row r="232" customFormat="false" ht="15" hidden="false" customHeight="false" outlineLevel="0" collapsed="false">
      <c r="A232" s="25" t="str">
        <f aca="false">IF(C232="","",ROW()-5)</f>
        <v/>
      </c>
      <c r="B232" s="35"/>
      <c r="C232" s="36"/>
      <c r="D232" s="25" t="str">
        <f aca="false">IF(C232="","",INDEX(Firmalar!$C$5:$C$7,MATCH(C232,Firmalar!$A$5:$A$7,0)))</f>
        <v/>
      </c>
      <c r="E232" s="37"/>
      <c r="F232" s="36"/>
      <c r="G232" s="36"/>
      <c r="H232" s="36"/>
      <c r="I232" s="36"/>
      <c r="J232" s="36"/>
      <c r="K232" s="36"/>
      <c r="L232" s="38"/>
      <c r="M232" s="21" t="str">
        <f aca="false">IF(OR(E232="",L232=""),"",E232*L232)</f>
        <v/>
      </c>
      <c r="N232" s="36"/>
    </row>
    <row r="233" customFormat="false" ht="15" hidden="false" customHeight="false" outlineLevel="0" collapsed="false">
      <c r="A233" s="25" t="str">
        <f aca="false">IF(C233="","",ROW()-5)</f>
        <v/>
      </c>
      <c r="B233" s="35"/>
      <c r="C233" s="36"/>
      <c r="D233" s="25" t="str">
        <f aca="false">IF(C233="","",INDEX(Firmalar!$C$5:$C$7,MATCH(C233,Firmalar!$A$5:$A$7,0)))</f>
        <v/>
      </c>
      <c r="E233" s="37"/>
      <c r="F233" s="36"/>
      <c r="G233" s="36"/>
      <c r="H233" s="36"/>
      <c r="I233" s="36"/>
      <c r="J233" s="36"/>
      <c r="K233" s="36"/>
      <c r="L233" s="38"/>
      <c r="M233" s="21" t="str">
        <f aca="false">IF(OR(E233="",L233=""),"",E233*L233)</f>
        <v/>
      </c>
      <c r="N233" s="36"/>
    </row>
    <row r="234" customFormat="false" ht="15" hidden="false" customHeight="false" outlineLevel="0" collapsed="false">
      <c r="A234" s="25" t="str">
        <f aca="false">IF(C234="","",ROW()-5)</f>
        <v/>
      </c>
      <c r="B234" s="35"/>
      <c r="C234" s="36"/>
      <c r="D234" s="25" t="str">
        <f aca="false">IF(C234="","",INDEX(Firmalar!$C$5:$C$7,MATCH(C234,Firmalar!$A$5:$A$7,0)))</f>
        <v/>
      </c>
      <c r="E234" s="37"/>
      <c r="F234" s="36"/>
      <c r="G234" s="36"/>
      <c r="H234" s="36"/>
      <c r="I234" s="36"/>
      <c r="J234" s="36"/>
      <c r="K234" s="36"/>
      <c r="L234" s="38"/>
      <c r="M234" s="21" t="str">
        <f aca="false">IF(OR(E234="",L234=""),"",E234*L234)</f>
        <v/>
      </c>
      <c r="N234" s="36"/>
    </row>
    <row r="235" customFormat="false" ht="15" hidden="false" customHeight="false" outlineLevel="0" collapsed="false">
      <c r="A235" s="25" t="str">
        <f aca="false">IF(C235="","",ROW()-5)</f>
        <v/>
      </c>
      <c r="B235" s="35"/>
      <c r="C235" s="36"/>
      <c r="D235" s="25" t="str">
        <f aca="false">IF(C235="","",INDEX(Firmalar!$C$5:$C$7,MATCH(C235,Firmalar!$A$5:$A$7,0)))</f>
        <v/>
      </c>
      <c r="E235" s="37"/>
      <c r="F235" s="36"/>
      <c r="G235" s="36"/>
      <c r="H235" s="36"/>
      <c r="I235" s="36"/>
      <c r="J235" s="36"/>
      <c r="K235" s="36"/>
      <c r="L235" s="38"/>
      <c r="M235" s="21" t="str">
        <f aca="false">IF(OR(E235="",L235=""),"",E235*L235)</f>
        <v/>
      </c>
      <c r="N235" s="36"/>
    </row>
    <row r="236" customFormat="false" ht="15" hidden="false" customHeight="false" outlineLevel="0" collapsed="false">
      <c r="A236" s="25" t="str">
        <f aca="false">IF(C236="","",ROW()-5)</f>
        <v/>
      </c>
      <c r="B236" s="35"/>
      <c r="C236" s="36"/>
      <c r="D236" s="25" t="str">
        <f aca="false">IF(C236="","",INDEX(Firmalar!$C$5:$C$7,MATCH(C236,Firmalar!$A$5:$A$7,0)))</f>
        <v/>
      </c>
      <c r="E236" s="37"/>
      <c r="F236" s="36"/>
      <c r="G236" s="36"/>
      <c r="H236" s="36"/>
      <c r="I236" s="36"/>
      <c r="J236" s="36"/>
      <c r="K236" s="36"/>
      <c r="L236" s="38"/>
      <c r="M236" s="21" t="str">
        <f aca="false">IF(OR(E236="",L236=""),"",E236*L236)</f>
        <v/>
      </c>
      <c r="N236" s="36"/>
    </row>
    <row r="237" customFormat="false" ht="15" hidden="false" customHeight="false" outlineLevel="0" collapsed="false">
      <c r="A237" s="25" t="str">
        <f aca="false">IF(C237="","",ROW()-5)</f>
        <v/>
      </c>
      <c r="B237" s="35"/>
      <c r="C237" s="36"/>
      <c r="D237" s="25" t="str">
        <f aca="false">IF(C237="","",INDEX(Firmalar!$C$5:$C$7,MATCH(C237,Firmalar!$A$5:$A$7,0)))</f>
        <v/>
      </c>
      <c r="E237" s="37"/>
      <c r="F237" s="36"/>
      <c r="G237" s="36"/>
      <c r="H237" s="36"/>
      <c r="I237" s="36"/>
      <c r="J237" s="36"/>
      <c r="K237" s="36"/>
      <c r="L237" s="38"/>
      <c r="M237" s="21" t="str">
        <f aca="false">IF(OR(E237="",L237=""),"",E237*L237)</f>
        <v/>
      </c>
      <c r="N237" s="36"/>
    </row>
    <row r="238" customFormat="false" ht="15" hidden="false" customHeight="false" outlineLevel="0" collapsed="false">
      <c r="A238" s="25" t="str">
        <f aca="false">IF(C238="","",ROW()-5)</f>
        <v/>
      </c>
      <c r="B238" s="35"/>
      <c r="C238" s="36"/>
      <c r="D238" s="25" t="str">
        <f aca="false">IF(C238="","",INDEX(Firmalar!$C$5:$C$7,MATCH(C238,Firmalar!$A$5:$A$7,0)))</f>
        <v/>
      </c>
      <c r="E238" s="37"/>
      <c r="F238" s="36"/>
      <c r="G238" s="36"/>
      <c r="H238" s="36"/>
      <c r="I238" s="36"/>
      <c r="J238" s="36"/>
      <c r="K238" s="36"/>
      <c r="L238" s="38"/>
      <c r="M238" s="21" t="str">
        <f aca="false">IF(OR(E238="",L238=""),"",E238*L238)</f>
        <v/>
      </c>
      <c r="N238" s="36"/>
    </row>
    <row r="239" customFormat="false" ht="15" hidden="false" customHeight="false" outlineLevel="0" collapsed="false">
      <c r="A239" s="25" t="str">
        <f aca="false">IF(C239="","",ROW()-5)</f>
        <v/>
      </c>
      <c r="B239" s="35"/>
      <c r="C239" s="36"/>
      <c r="D239" s="25" t="str">
        <f aca="false">IF(C239="","",INDEX(Firmalar!$C$5:$C$7,MATCH(C239,Firmalar!$A$5:$A$7,0)))</f>
        <v/>
      </c>
      <c r="E239" s="37"/>
      <c r="F239" s="36"/>
      <c r="G239" s="36"/>
      <c r="H239" s="36"/>
      <c r="I239" s="36"/>
      <c r="J239" s="36"/>
      <c r="K239" s="36"/>
      <c r="L239" s="38"/>
      <c r="M239" s="21" t="str">
        <f aca="false">IF(OR(E239="",L239=""),"",E239*L239)</f>
        <v/>
      </c>
      <c r="N239" s="36"/>
    </row>
    <row r="240" customFormat="false" ht="15" hidden="false" customHeight="false" outlineLevel="0" collapsed="false">
      <c r="A240" s="25" t="str">
        <f aca="false">IF(C240="","",ROW()-5)</f>
        <v/>
      </c>
      <c r="B240" s="35"/>
      <c r="C240" s="36"/>
      <c r="D240" s="25" t="str">
        <f aca="false">IF(C240="","",INDEX(Firmalar!$C$5:$C$7,MATCH(C240,Firmalar!$A$5:$A$7,0)))</f>
        <v/>
      </c>
      <c r="E240" s="37"/>
      <c r="F240" s="36"/>
      <c r="G240" s="36"/>
      <c r="H240" s="36"/>
      <c r="I240" s="36"/>
      <c r="J240" s="36"/>
      <c r="K240" s="36"/>
      <c r="L240" s="38"/>
      <c r="M240" s="21" t="str">
        <f aca="false">IF(OR(E240="",L240=""),"",E240*L240)</f>
        <v/>
      </c>
      <c r="N240" s="36"/>
    </row>
    <row r="241" customFormat="false" ht="15" hidden="false" customHeight="false" outlineLevel="0" collapsed="false">
      <c r="A241" s="25" t="str">
        <f aca="false">IF(C241="","",ROW()-5)</f>
        <v/>
      </c>
      <c r="B241" s="35"/>
      <c r="C241" s="36"/>
      <c r="D241" s="25" t="str">
        <f aca="false">IF(C241="","",INDEX(Firmalar!$C$5:$C$7,MATCH(C241,Firmalar!$A$5:$A$7,0)))</f>
        <v/>
      </c>
      <c r="E241" s="37"/>
      <c r="F241" s="36"/>
      <c r="G241" s="36"/>
      <c r="H241" s="36"/>
      <c r="I241" s="36"/>
      <c r="J241" s="36"/>
      <c r="K241" s="36"/>
      <c r="L241" s="38"/>
      <c r="M241" s="21" t="str">
        <f aca="false">IF(OR(E241="",L241=""),"",E241*L241)</f>
        <v/>
      </c>
      <c r="N241" s="36"/>
    </row>
    <row r="242" customFormat="false" ht="15" hidden="false" customHeight="false" outlineLevel="0" collapsed="false">
      <c r="A242" s="25" t="str">
        <f aca="false">IF(C242="","",ROW()-5)</f>
        <v/>
      </c>
      <c r="B242" s="35"/>
      <c r="C242" s="36"/>
      <c r="D242" s="25" t="str">
        <f aca="false">IF(C242="","",INDEX(Firmalar!$C$5:$C$7,MATCH(C242,Firmalar!$A$5:$A$7,0)))</f>
        <v/>
      </c>
      <c r="E242" s="37"/>
      <c r="F242" s="36"/>
      <c r="G242" s="36"/>
      <c r="H242" s="36"/>
      <c r="I242" s="36"/>
      <c r="J242" s="36"/>
      <c r="K242" s="36"/>
      <c r="L242" s="38"/>
      <c r="M242" s="21" t="str">
        <f aca="false">IF(OR(E242="",L242=""),"",E242*L242)</f>
        <v/>
      </c>
      <c r="N242" s="36"/>
    </row>
    <row r="243" customFormat="false" ht="15" hidden="false" customHeight="false" outlineLevel="0" collapsed="false">
      <c r="A243" s="25" t="str">
        <f aca="false">IF(C243="","",ROW()-5)</f>
        <v/>
      </c>
      <c r="B243" s="35"/>
      <c r="C243" s="36"/>
      <c r="D243" s="25" t="str">
        <f aca="false">IF(C243="","",INDEX(Firmalar!$C$5:$C$7,MATCH(C243,Firmalar!$A$5:$A$7,0)))</f>
        <v/>
      </c>
      <c r="E243" s="37"/>
      <c r="F243" s="36"/>
      <c r="G243" s="36"/>
      <c r="H243" s="36"/>
      <c r="I243" s="36"/>
      <c r="J243" s="36"/>
      <c r="K243" s="36"/>
      <c r="L243" s="38"/>
      <c r="M243" s="21" t="str">
        <f aca="false">IF(OR(E243="",L243=""),"",E243*L243)</f>
        <v/>
      </c>
      <c r="N243" s="36"/>
    </row>
    <row r="244" customFormat="false" ht="15" hidden="false" customHeight="false" outlineLevel="0" collapsed="false">
      <c r="A244" s="25" t="str">
        <f aca="false">IF(C244="","",ROW()-5)</f>
        <v/>
      </c>
      <c r="B244" s="35"/>
      <c r="C244" s="36"/>
      <c r="D244" s="25" t="str">
        <f aca="false">IF(C244="","",INDEX(Firmalar!$C$5:$C$7,MATCH(C244,Firmalar!$A$5:$A$7,0)))</f>
        <v/>
      </c>
      <c r="E244" s="37"/>
      <c r="F244" s="36"/>
      <c r="G244" s="36"/>
      <c r="H244" s="36"/>
      <c r="I244" s="36"/>
      <c r="J244" s="36"/>
      <c r="K244" s="36"/>
      <c r="L244" s="38"/>
      <c r="M244" s="21" t="str">
        <f aca="false">IF(OR(E244="",L244=""),"",E244*L244)</f>
        <v/>
      </c>
      <c r="N244" s="36"/>
    </row>
    <row r="245" customFormat="false" ht="15" hidden="false" customHeight="false" outlineLevel="0" collapsed="false">
      <c r="A245" s="25" t="str">
        <f aca="false">IF(C245="","",ROW()-5)</f>
        <v/>
      </c>
      <c r="B245" s="35"/>
      <c r="C245" s="36"/>
      <c r="D245" s="25" t="str">
        <f aca="false">IF(C245="","",INDEX(Firmalar!$C$5:$C$7,MATCH(C245,Firmalar!$A$5:$A$7,0)))</f>
        <v/>
      </c>
      <c r="E245" s="37"/>
      <c r="F245" s="36"/>
      <c r="G245" s="36"/>
      <c r="H245" s="36"/>
      <c r="I245" s="36"/>
      <c r="J245" s="36"/>
      <c r="K245" s="36"/>
      <c r="L245" s="38"/>
      <c r="M245" s="21" t="str">
        <f aca="false">IF(OR(E245="",L245=""),"",E245*L245)</f>
        <v/>
      </c>
      <c r="N245" s="36"/>
    </row>
    <row r="246" customFormat="false" ht="15" hidden="false" customHeight="false" outlineLevel="0" collapsed="false">
      <c r="A246" s="25" t="str">
        <f aca="false">IF(C246="","",ROW()-5)</f>
        <v/>
      </c>
      <c r="B246" s="35"/>
      <c r="C246" s="36"/>
      <c r="D246" s="25" t="str">
        <f aca="false">IF(C246="","",INDEX(Firmalar!$C$5:$C$7,MATCH(C246,Firmalar!$A$5:$A$7,0)))</f>
        <v/>
      </c>
      <c r="E246" s="37"/>
      <c r="F246" s="36"/>
      <c r="G246" s="36"/>
      <c r="H246" s="36"/>
      <c r="I246" s="36"/>
      <c r="J246" s="36"/>
      <c r="K246" s="36"/>
      <c r="L246" s="38"/>
      <c r="M246" s="21" t="str">
        <f aca="false">IF(OR(E246="",L246=""),"",E246*L246)</f>
        <v/>
      </c>
      <c r="N246" s="36"/>
    </row>
    <row r="247" customFormat="false" ht="15" hidden="false" customHeight="false" outlineLevel="0" collapsed="false">
      <c r="A247" s="25" t="str">
        <f aca="false">IF(C247="","",ROW()-5)</f>
        <v/>
      </c>
      <c r="B247" s="35"/>
      <c r="C247" s="36"/>
      <c r="D247" s="25" t="str">
        <f aca="false">IF(C247="","",INDEX(Firmalar!$C$5:$C$7,MATCH(C247,Firmalar!$A$5:$A$7,0)))</f>
        <v/>
      </c>
      <c r="E247" s="37"/>
      <c r="F247" s="36"/>
      <c r="G247" s="36"/>
      <c r="H247" s="36"/>
      <c r="I247" s="36"/>
      <c r="J247" s="36"/>
      <c r="K247" s="36"/>
      <c r="L247" s="38"/>
      <c r="M247" s="21" t="str">
        <f aca="false">IF(OR(E247="",L247=""),"",E247*L247)</f>
        <v/>
      </c>
      <c r="N247" s="36"/>
    </row>
    <row r="248" customFormat="false" ht="15" hidden="false" customHeight="false" outlineLevel="0" collapsed="false">
      <c r="A248" s="25" t="str">
        <f aca="false">IF(C248="","",ROW()-5)</f>
        <v/>
      </c>
      <c r="B248" s="35"/>
      <c r="C248" s="36"/>
      <c r="D248" s="25" t="str">
        <f aca="false">IF(C248="","",INDEX(Firmalar!$C$5:$C$7,MATCH(C248,Firmalar!$A$5:$A$7,0)))</f>
        <v/>
      </c>
      <c r="E248" s="37"/>
      <c r="F248" s="36"/>
      <c r="G248" s="36"/>
      <c r="H248" s="36"/>
      <c r="I248" s="36"/>
      <c r="J248" s="36"/>
      <c r="K248" s="36"/>
      <c r="L248" s="38"/>
      <c r="M248" s="21" t="str">
        <f aca="false">IF(OR(E248="",L248=""),"",E248*L248)</f>
        <v/>
      </c>
      <c r="N248" s="36"/>
    </row>
    <row r="249" customFormat="false" ht="15" hidden="false" customHeight="false" outlineLevel="0" collapsed="false">
      <c r="A249" s="25" t="str">
        <f aca="false">IF(C249="","",ROW()-5)</f>
        <v/>
      </c>
      <c r="B249" s="35"/>
      <c r="C249" s="36"/>
      <c r="D249" s="25" t="str">
        <f aca="false">IF(C249="","",INDEX(Firmalar!$C$5:$C$7,MATCH(C249,Firmalar!$A$5:$A$7,0)))</f>
        <v/>
      </c>
      <c r="E249" s="37"/>
      <c r="F249" s="36"/>
      <c r="G249" s="36"/>
      <c r="H249" s="36"/>
      <c r="I249" s="36"/>
      <c r="J249" s="36"/>
      <c r="K249" s="36"/>
      <c r="L249" s="38"/>
      <c r="M249" s="21" t="str">
        <f aca="false">IF(OR(E249="",L249=""),"",E249*L249)</f>
        <v/>
      </c>
      <c r="N249" s="36"/>
    </row>
    <row r="250" customFormat="false" ht="15" hidden="false" customHeight="false" outlineLevel="0" collapsed="false">
      <c r="A250" s="25" t="str">
        <f aca="false">IF(C250="","",ROW()-5)</f>
        <v/>
      </c>
      <c r="B250" s="35"/>
      <c r="C250" s="36"/>
      <c r="D250" s="25" t="str">
        <f aca="false">IF(C250="","",INDEX(Firmalar!$C$5:$C$7,MATCH(C250,Firmalar!$A$5:$A$7,0)))</f>
        <v/>
      </c>
      <c r="E250" s="37"/>
      <c r="F250" s="36"/>
      <c r="G250" s="36"/>
      <c r="H250" s="36"/>
      <c r="I250" s="36"/>
      <c r="J250" s="36"/>
      <c r="K250" s="36"/>
      <c r="L250" s="38"/>
      <c r="M250" s="21" t="str">
        <f aca="false">IF(OR(E250="",L250=""),"",E250*L250)</f>
        <v/>
      </c>
      <c r="N250" s="36"/>
    </row>
    <row r="251" customFormat="false" ht="15" hidden="false" customHeight="false" outlineLevel="0" collapsed="false">
      <c r="A251" s="25" t="str">
        <f aca="false">IF(C251="","",ROW()-5)</f>
        <v/>
      </c>
      <c r="B251" s="35"/>
      <c r="C251" s="36"/>
      <c r="D251" s="25" t="str">
        <f aca="false">IF(C251="","",INDEX(Firmalar!$C$5:$C$7,MATCH(C251,Firmalar!$A$5:$A$7,0)))</f>
        <v/>
      </c>
      <c r="E251" s="37"/>
      <c r="F251" s="36"/>
      <c r="G251" s="36"/>
      <c r="H251" s="36"/>
      <c r="I251" s="36"/>
      <c r="J251" s="36"/>
      <c r="K251" s="36"/>
      <c r="L251" s="38"/>
      <c r="M251" s="21" t="str">
        <f aca="false">IF(OR(E251="",L251=""),"",E251*L251)</f>
        <v/>
      </c>
      <c r="N251" s="36"/>
    </row>
    <row r="252" customFormat="false" ht="15" hidden="false" customHeight="false" outlineLevel="0" collapsed="false">
      <c r="A252" s="25" t="str">
        <f aca="false">IF(C252="","",ROW()-5)</f>
        <v/>
      </c>
      <c r="B252" s="35"/>
      <c r="C252" s="36"/>
      <c r="D252" s="25" t="str">
        <f aca="false">IF(C252="","",INDEX(Firmalar!$C$5:$C$7,MATCH(C252,Firmalar!$A$5:$A$7,0)))</f>
        <v/>
      </c>
      <c r="E252" s="37"/>
      <c r="F252" s="36"/>
      <c r="G252" s="36"/>
      <c r="H252" s="36"/>
      <c r="I252" s="36"/>
      <c r="J252" s="36"/>
      <c r="K252" s="36"/>
      <c r="L252" s="38"/>
      <c r="M252" s="21" t="str">
        <f aca="false">IF(OR(E252="",L252=""),"",E252*L252)</f>
        <v/>
      </c>
      <c r="N252" s="36"/>
    </row>
    <row r="253" customFormat="false" ht="15" hidden="false" customHeight="false" outlineLevel="0" collapsed="false">
      <c r="A253" s="25" t="str">
        <f aca="false">IF(C253="","",ROW()-5)</f>
        <v/>
      </c>
      <c r="B253" s="35"/>
      <c r="C253" s="36"/>
      <c r="D253" s="25" t="str">
        <f aca="false">IF(C253="","",INDEX(Firmalar!$C$5:$C$7,MATCH(C253,Firmalar!$A$5:$A$7,0)))</f>
        <v/>
      </c>
      <c r="E253" s="37"/>
      <c r="F253" s="36"/>
      <c r="G253" s="36"/>
      <c r="H253" s="36"/>
      <c r="I253" s="36"/>
      <c r="J253" s="36"/>
      <c r="K253" s="36"/>
      <c r="L253" s="38"/>
      <c r="M253" s="21" t="str">
        <f aca="false">IF(OR(E253="",L253=""),"",E253*L253)</f>
        <v/>
      </c>
      <c r="N253" s="36"/>
    </row>
    <row r="254" customFormat="false" ht="15" hidden="false" customHeight="false" outlineLevel="0" collapsed="false">
      <c r="A254" s="25" t="str">
        <f aca="false">IF(C254="","",ROW()-5)</f>
        <v/>
      </c>
      <c r="B254" s="35"/>
      <c r="C254" s="36"/>
      <c r="D254" s="25" t="str">
        <f aca="false">IF(C254="","",INDEX(Firmalar!$C$5:$C$7,MATCH(C254,Firmalar!$A$5:$A$7,0)))</f>
        <v/>
      </c>
      <c r="E254" s="37"/>
      <c r="F254" s="36"/>
      <c r="G254" s="36"/>
      <c r="H254" s="36"/>
      <c r="I254" s="36"/>
      <c r="J254" s="36"/>
      <c r="K254" s="36"/>
      <c r="L254" s="38"/>
      <c r="M254" s="21" t="str">
        <f aca="false">IF(OR(E254="",L254=""),"",E254*L254)</f>
        <v/>
      </c>
      <c r="N254" s="36"/>
    </row>
    <row r="255" customFormat="false" ht="15" hidden="false" customHeight="false" outlineLevel="0" collapsed="false">
      <c r="A255" s="25" t="str">
        <f aca="false">IF(C255="","",ROW()-5)</f>
        <v/>
      </c>
      <c r="B255" s="35"/>
      <c r="C255" s="36"/>
      <c r="D255" s="25" t="str">
        <f aca="false">IF(C255="","",INDEX(Firmalar!$C$5:$C$7,MATCH(C255,Firmalar!$A$5:$A$7,0)))</f>
        <v/>
      </c>
      <c r="E255" s="37"/>
      <c r="F255" s="36"/>
      <c r="G255" s="36"/>
      <c r="H255" s="36"/>
      <c r="I255" s="36"/>
      <c r="J255" s="36"/>
      <c r="K255" s="36"/>
      <c r="L255" s="38"/>
      <c r="M255" s="21" t="str">
        <f aca="false">IF(OR(E255="",L255=""),"",E255*L255)</f>
        <v/>
      </c>
      <c r="N255" s="36"/>
    </row>
    <row r="256" customFormat="false" ht="15" hidden="false" customHeight="false" outlineLevel="0" collapsed="false">
      <c r="A256" s="25" t="str">
        <f aca="false">IF(C256="","",ROW()-5)</f>
        <v/>
      </c>
      <c r="B256" s="35"/>
      <c r="C256" s="36"/>
      <c r="D256" s="25" t="str">
        <f aca="false">IF(C256="","",INDEX(Firmalar!$C$5:$C$7,MATCH(C256,Firmalar!$A$5:$A$7,0)))</f>
        <v/>
      </c>
      <c r="E256" s="37"/>
      <c r="F256" s="36"/>
      <c r="G256" s="36"/>
      <c r="H256" s="36"/>
      <c r="I256" s="36"/>
      <c r="J256" s="36"/>
      <c r="K256" s="36"/>
      <c r="L256" s="38"/>
      <c r="M256" s="21" t="str">
        <f aca="false">IF(OR(E256="",L256=""),"",E256*L256)</f>
        <v/>
      </c>
      <c r="N256" s="36"/>
    </row>
    <row r="257" customFormat="false" ht="15" hidden="false" customHeight="false" outlineLevel="0" collapsed="false">
      <c r="A257" s="25" t="str">
        <f aca="false">IF(C257="","",ROW()-5)</f>
        <v/>
      </c>
      <c r="B257" s="35"/>
      <c r="C257" s="36"/>
      <c r="D257" s="25" t="str">
        <f aca="false">IF(C257="","",INDEX(Firmalar!$C$5:$C$7,MATCH(C257,Firmalar!$A$5:$A$7,0)))</f>
        <v/>
      </c>
      <c r="E257" s="37"/>
      <c r="F257" s="36"/>
      <c r="G257" s="36"/>
      <c r="H257" s="36"/>
      <c r="I257" s="36"/>
      <c r="J257" s="36"/>
      <c r="K257" s="36"/>
      <c r="L257" s="38"/>
      <c r="M257" s="21" t="str">
        <f aca="false">IF(OR(E257="",L257=""),"",E257*L257)</f>
        <v/>
      </c>
      <c r="N257" s="36"/>
    </row>
    <row r="258" customFormat="false" ht="15" hidden="false" customHeight="false" outlineLevel="0" collapsed="false">
      <c r="A258" s="25" t="str">
        <f aca="false">IF(C258="","",ROW()-5)</f>
        <v/>
      </c>
      <c r="B258" s="35"/>
      <c r="C258" s="36"/>
      <c r="D258" s="25" t="str">
        <f aca="false">IF(C258="","",INDEX(Firmalar!$C$5:$C$7,MATCH(C258,Firmalar!$A$5:$A$7,0)))</f>
        <v/>
      </c>
      <c r="E258" s="37"/>
      <c r="F258" s="36"/>
      <c r="G258" s="36"/>
      <c r="H258" s="36"/>
      <c r="I258" s="36"/>
      <c r="J258" s="36"/>
      <c r="K258" s="36"/>
      <c r="L258" s="38"/>
      <c r="M258" s="21" t="str">
        <f aca="false">IF(OR(E258="",L258=""),"",E258*L258)</f>
        <v/>
      </c>
      <c r="N258" s="36"/>
    </row>
    <row r="259" customFormat="false" ht="15" hidden="false" customHeight="false" outlineLevel="0" collapsed="false">
      <c r="A259" s="25" t="str">
        <f aca="false">IF(C259="","",ROW()-5)</f>
        <v/>
      </c>
      <c r="B259" s="35"/>
      <c r="C259" s="36"/>
      <c r="D259" s="25" t="str">
        <f aca="false">IF(C259="","",INDEX(Firmalar!$C$5:$C$7,MATCH(C259,Firmalar!$A$5:$A$7,0)))</f>
        <v/>
      </c>
      <c r="E259" s="37"/>
      <c r="F259" s="36"/>
      <c r="G259" s="36"/>
      <c r="H259" s="36"/>
      <c r="I259" s="36"/>
      <c r="J259" s="36"/>
      <c r="K259" s="36"/>
      <c r="L259" s="38"/>
      <c r="M259" s="21" t="str">
        <f aca="false">IF(OR(E259="",L259=""),"",E259*L259)</f>
        <v/>
      </c>
      <c r="N259" s="36"/>
    </row>
    <row r="260" customFormat="false" ht="15" hidden="false" customHeight="false" outlineLevel="0" collapsed="false">
      <c r="A260" s="25" t="str">
        <f aca="false">IF(C260="","",ROW()-5)</f>
        <v/>
      </c>
      <c r="B260" s="35"/>
      <c r="C260" s="36"/>
      <c r="D260" s="25" t="str">
        <f aca="false">IF(C260="","",INDEX(Firmalar!$C$5:$C$7,MATCH(C260,Firmalar!$A$5:$A$7,0)))</f>
        <v/>
      </c>
      <c r="E260" s="37"/>
      <c r="F260" s="36"/>
      <c r="G260" s="36"/>
      <c r="H260" s="36"/>
      <c r="I260" s="36"/>
      <c r="J260" s="36"/>
      <c r="K260" s="36"/>
      <c r="L260" s="38"/>
      <c r="M260" s="21" t="str">
        <f aca="false">IF(OR(E260="",L260=""),"",E260*L260)</f>
        <v/>
      </c>
      <c r="N260" s="36"/>
    </row>
    <row r="261" customFormat="false" ht="15" hidden="false" customHeight="false" outlineLevel="0" collapsed="false">
      <c r="A261" s="25" t="str">
        <f aca="false">IF(C261="","",ROW()-5)</f>
        <v/>
      </c>
      <c r="B261" s="35"/>
      <c r="C261" s="36"/>
      <c r="D261" s="25" t="str">
        <f aca="false">IF(C261="","",INDEX(Firmalar!$C$5:$C$7,MATCH(C261,Firmalar!$A$5:$A$7,0)))</f>
        <v/>
      </c>
      <c r="E261" s="37"/>
      <c r="F261" s="36"/>
      <c r="G261" s="36"/>
      <c r="H261" s="36"/>
      <c r="I261" s="36"/>
      <c r="J261" s="36"/>
      <c r="K261" s="36"/>
      <c r="L261" s="38"/>
      <c r="M261" s="21" t="str">
        <f aca="false">IF(OR(E261="",L261=""),"",E261*L261)</f>
        <v/>
      </c>
      <c r="N261" s="36"/>
    </row>
    <row r="262" customFormat="false" ht="15" hidden="false" customHeight="false" outlineLevel="0" collapsed="false">
      <c r="A262" s="25" t="str">
        <f aca="false">IF(C262="","",ROW()-5)</f>
        <v/>
      </c>
      <c r="B262" s="35"/>
      <c r="C262" s="36"/>
      <c r="D262" s="25" t="str">
        <f aca="false">IF(C262="","",INDEX(Firmalar!$C$5:$C$7,MATCH(C262,Firmalar!$A$5:$A$7,0)))</f>
        <v/>
      </c>
      <c r="E262" s="37"/>
      <c r="F262" s="36"/>
      <c r="G262" s="36"/>
      <c r="H262" s="36"/>
      <c r="I262" s="36"/>
      <c r="J262" s="36"/>
      <c r="K262" s="36"/>
      <c r="L262" s="38"/>
      <c r="M262" s="21" t="str">
        <f aca="false">IF(OR(E262="",L262=""),"",E262*L262)</f>
        <v/>
      </c>
      <c r="N262" s="36"/>
    </row>
    <row r="263" customFormat="false" ht="15" hidden="false" customHeight="false" outlineLevel="0" collapsed="false">
      <c r="A263" s="25" t="str">
        <f aca="false">IF(C263="","",ROW()-5)</f>
        <v/>
      </c>
      <c r="B263" s="35"/>
      <c r="C263" s="36"/>
      <c r="D263" s="25" t="str">
        <f aca="false">IF(C263="","",INDEX(Firmalar!$C$5:$C$7,MATCH(C263,Firmalar!$A$5:$A$7,0)))</f>
        <v/>
      </c>
      <c r="E263" s="37"/>
      <c r="F263" s="36"/>
      <c r="G263" s="36"/>
      <c r="H263" s="36"/>
      <c r="I263" s="36"/>
      <c r="J263" s="36"/>
      <c r="K263" s="36"/>
      <c r="L263" s="38"/>
      <c r="M263" s="21" t="str">
        <f aca="false">IF(OR(E263="",L263=""),"",E263*L263)</f>
        <v/>
      </c>
      <c r="N263" s="36"/>
    </row>
    <row r="264" customFormat="false" ht="15" hidden="false" customHeight="false" outlineLevel="0" collapsed="false">
      <c r="A264" s="25" t="str">
        <f aca="false">IF(C264="","",ROW()-5)</f>
        <v/>
      </c>
      <c r="B264" s="35"/>
      <c r="C264" s="36"/>
      <c r="D264" s="25" t="str">
        <f aca="false">IF(C264="","",INDEX(Firmalar!$C$5:$C$7,MATCH(C264,Firmalar!$A$5:$A$7,0)))</f>
        <v/>
      </c>
      <c r="E264" s="37"/>
      <c r="F264" s="36"/>
      <c r="G264" s="36"/>
      <c r="H264" s="36"/>
      <c r="I264" s="36"/>
      <c r="J264" s="36"/>
      <c r="K264" s="36"/>
      <c r="L264" s="38"/>
      <c r="M264" s="21" t="str">
        <f aca="false">IF(OR(E264="",L264=""),"",E264*L264)</f>
        <v/>
      </c>
      <c r="N264" s="36"/>
    </row>
    <row r="265" customFormat="false" ht="15" hidden="false" customHeight="false" outlineLevel="0" collapsed="false">
      <c r="A265" s="25" t="str">
        <f aca="false">IF(C265="","",ROW()-5)</f>
        <v/>
      </c>
      <c r="B265" s="35"/>
      <c r="C265" s="36"/>
      <c r="D265" s="25" t="str">
        <f aca="false">IF(C265="","",INDEX(Firmalar!$C$5:$C$7,MATCH(C265,Firmalar!$A$5:$A$7,0)))</f>
        <v/>
      </c>
      <c r="E265" s="37"/>
      <c r="F265" s="36"/>
      <c r="G265" s="36"/>
      <c r="H265" s="36"/>
      <c r="I265" s="36"/>
      <c r="J265" s="36"/>
      <c r="K265" s="36"/>
      <c r="L265" s="38"/>
      <c r="M265" s="21" t="str">
        <f aca="false">IF(OR(E265="",L265=""),"",E265*L265)</f>
        <v/>
      </c>
      <c r="N265" s="36"/>
    </row>
    <row r="266" customFormat="false" ht="15" hidden="false" customHeight="false" outlineLevel="0" collapsed="false">
      <c r="A266" s="25" t="str">
        <f aca="false">IF(C266="","",ROW()-5)</f>
        <v/>
      </c>
      <c r="B266" s="35"/>
      <c r="C266" s="36"/>
      <c r="D266" s="25" t="str">
        <f aca="false">IF(C266="","",INDEX(Firmalar!$C$5:$C$7,MATCH(C266,Firmalar!$A$5:$A$7,0)))</f>
        <v/>
      </c>
      <c r="E266" s="37"/>
      <c r="F266" s="36"/>
      <c r="G266" s="36"/>
      <c r="H266" s="36"/>
      <c r="I266" s="36"/>
      <c r="J266" s="36"/>
      <c r="K266" s="36"/>
      <c r="L266" s="38"/>
      <c r="M266" s="21" t="str">
        <f aca="false">IF(OR(E266="",L266=""),"",E266*L266)</f>
        <v/>
      </c>
      <c r="N266" s="36"/>
    </row>
    <row r="267" customFormat="false" ht="15" hidden="false" customHeight="false" outlineLevel="0" collapsed="false">
      <c r="A267" s="25" t="str">
        <f aca="false">IF(C267="","",ROW()-5)</f>
        <v/>
      </c>
      <c r="B267" s="35"/>
      <c r="C267" s="36"/>
      <c r="D267" s="25" t="str">
        <f aca="false">IF(C267="","",INDEX(Firmalar!$C$5:$C$7,MATCH(C267,Firmalar!$A$5:$A$7,0)))</f>
        <v/>
      </c>
      <c r="E267" s="37"/>
      <c r="F267" s="36"/>
      <c r="G267" s="36"/>
      <c r="H267" s="36"/>
      <c r="I267" s="36"/>
      <c r="J267" s="36"/>
      <c r="K267" s="36"/>
      <c r="L267" s="38"/>
      <c r="M267" s="21" t="str">
        <f aca="false">IF(OR(E267="",L267=""),"",E267*L267)</f>
        <v/>
      </c>
      <c r="N267" s="36"/>
    </row>
    <row r="268" customFormat="false" ht="15" hidden="false" customHeight="false" outlineLevel="0" collapsed="false">
      <c r="A268" s="25" t="str">
        <f aca="false">IF(C268="","",ROW()-5)</f>
        <v/>
      </c>
      <c r="B268" s="35"/>
      <c r="C268" s="36"/>
      <c r="D268" s="25" t="str">
        <f aca="false">IF(C268="","",INDEX(Firmalar!$C$5:$C$7,MATCH(C268,Firmalar!$A$5:$A$7,0)))</f>
        <v/>
      </c>
      <c r="E268" s="37"/>
      <c r="F268" s="36"/>
      <c r="G268" s="36"/>
      <c r="H268" s="36"/>
      <c r="I268" s="36"/>
      <c r="J268" s="36"/>
      <c r="K268" s="36"/>
      <c r="L268" s="38"/>
      <c r="M268" s="21" t="str">
        <f aca="false">IF(OR(E268="",L268=""),"",E268*L268)</f>
        <v/>
      </c>
      <c r="N268" s="36"/>
    </row>
    <row r="269" customFormat="false" ht="15" hidden="false" customHeight="false" outlineLevel="0" collapsed="false">
      <c r="A269" s="25" t="str">
        <f aca="false">IF(C269="","",ROW()-5)</f>
        <v/>
      </c>
      <c r="B269" s="35"/>
      <c r="C269" s="36"/>
      <c r="D269" s="25" t="str">
        <f aca="false">IF(C269="","",INDEX(Firmalar!$C$5:$C$7,MATCH(C269,Firmalar!$A$5:$A$7,0)))</f>
        <v/>
      </c>
      <c r="E269" s="37"/>
      <c r="F269" s="36"/>
      <c r="G269" s="36"/>
      <c r="H269" s="36"/>
      <c r="I269" s="36"/>
      <c r="J269" s="36"/>
      <c r="K269" s="36"/>
      <c r="L269" s="38"/>
      <c r="M269" s="21" t="str">
        <f aca="false">IF(OR(E269="",L269=""),"",E269*L269)</f>
        <v/>
      </c>
      <c r="N269" s="36"/>
    </row>
    <row r="270" customFormat="false" ht="15" hidden="false" customHeight="false" outlineLevel="0" collapsed="false">
      <c r="A270" s="25" t="str">
        <f aca="false">IF(C270="","",ROW()-5)</f>
        <v/>
      </c>
      <c r="B270" s="35"/>
      <c r="C270" s="36"/>
      <c r="D270" s="25" t="str">
        <f aca="false">IF(C270="","",INDEX(Firmalar!$C$5:$C$7,MATCH(C270,Firmalar!$A$5:$A$7,0)))</f>
        <v/>
      </c>
      <c r="E270" s="37"/>
      <c r="F270" s="36"/>
      <c r="G270" s="36"/>
      <c r="H270" s="36"/>
      <c r="I270" s="36"/>
      <c r="J270" s="36"/>
      <c r="K270" s="36"/>
      <c r="L270" s="38"/>
      <c r="M270" s="21" t="str">
        <f aca="false">IF(OR(E270="",L270=""),"",E270*L270)</f>
        <v/>
      </c>
      <c r="N270" s="36"/>
    </row>
    <row r="271" customFormat="false" ht="15" hidden="false" customHeight="false" outlineLevel="0" collapsed="false">
      <c r="A271" s="25" t="str">
        <f aca="false">IF(C271="","",ROW()-5)</f>
        <v/>
      </c>
      <c r="B271" s="35"/>
      <c r="C271" s="36"/>
      <c r="D271" s="25" t="str">
        <f aca="false">IF(C271="","",INDEX(Firmalar!$C$5:$C$7,MATCH(C271,Firmalar!$A$5:$A$7,0)))</f>
        <v/>
      </c>
      <c r="E271" s="37"/>
      <c r="F271" s="36"/>
      <c r="G271" s="36"/>
      <c r="H271" s="36"/>
      <c r="I271" s="36"/>
      <c r="J271" s="36"/>
      <c r="K271" s="36"/>
      <c r="L271" s="38"/>
      <c r="M271" s="21" t="str">
        <f aca="false">IF(OR(E271="",L271=""),"",E271*L271)</f>
        <v/>
      </c>
      <c r="N271" s="36"/>
    </row>
    <row r="272" customFormat="false" ht="15" hidden="false" customHeight="false" outlineLevel="0" collapsed="false">
      <c r="A272" s="25" t="str">
        <f aca="false">IF(C272="","",ROW()-5)</f>
        <v/>
      </c>
      <c r="B272" s="35"/>
      <c r="C272" s="36"/>
      <c r="D272" s="25" t="str">
        <f aca="false">IF(C272="","",INDEX(Firmalar!$C$5:$C$7,MATCH(C272,Firmalar!$A$5:$A$7,0)))</f>
        <v/>
      </c>
      <c r="E272" s="37"/>
      <c r="F272" s="36"/>
      <c r="G272" s="36"/>
      <c r="H272" s="36"/>
      <c r="I272" s="36"/>
      <c r="J272" s="36"/>
      <c r="K272" s="36"/>
      <c r="L272" s="38"/>
      <c r="M272" s="21" t="str">
        <f aca="false">IF(OR(E272="",L272=""),"",E272*L272)</f>
        <v/>
      </c>
      <c r="N272" s="36"/>
    </row>
    <row r="273" customFormat="false" ht="15" hidden="false" customHeight="false" outlineLevel="0" collapsed="false">
      <c r="A273" s="25" t="str">
        <f aca="false">IF(C273="","",ROW()-5)</f>
        <v/>
      </c>
      <c r="B273" s="35"/>
      <c r="C273" s="36"/>
      <c r="D273" s="25" t="str">
        <f aca="false">IF(C273="","",INDEX(Firmalar!$C$5:$C$7,MATCH(C273,Firmalar!$A$5:$A$7,0)))</f>
        <v/>
      </c>
      <c r="E273" s="37"/>
      <c r="F273" s="36"/>
      <c r="G273" s="36"/>
      <c r="H273" s="36"/>
      <c r="I273" s="36"/>
      <c r="J273" s="36"/>
      <c r="K273" s="36"/>
      <c r="L273" s="38"/>
      <c r="M273" s="21" t="str">
        <f aca="false">IF(OR(E273="",L273=""),"",E273*L273)</f>
        <v/>
      </c>
      <c r="N273" s="36"/>
    </row>
    <row r="274" customFormat="false" ht="15" hidden="false" customHeight="false" outlineLevel="0" collapsed="false">
      <c r="A274" s="25" t="str">
        <f aca="false">IF(C274="","",ROW()-5)</f>
        <v/>
      </c>
      <c r="B274" s="35"/>
      <c r="C274" s="36"/>
      <c r="D274" s="25" t="str">
        <f aca="false">IF(C274="","",INDEX(Firmalar!$C$5:$C$7,MATCH(C274,Firmalar!$A$5:$A$7,0)))</f>
        <v/>
      </c>
      <c r="E274" s="37"/>
      <c r="F274" s="36"/>
      <c r="G274" s="36"/>
      <c r="H274" s="36"/>
      <c r="I274" s="36"/>
      <c r="J274" s="36"/>
      <c r="K274" s="36"/>
      <c r="L274" s="38"/>
      <c r="M274" s="21" t="str">
        <f aca="false">IF(OR(E274="",L274=""),"",E274*L274)</f>
        <v/>
      </c>
      <c r="N274" s="36"/>
    </row>
    <row r="275" customFormat="false" ht="15" hidden="false" customHeight="false" outlineLevel="0" collapsed="false">
      <c r="A275" s="25" t="str">
        <f aca="false">IF(C275="","",ROW()-5)</f>
        <v/>
      </c>
      <c r="B275" s="35"/>
      <c r="C275" s="36"/>
      <c r="D275" s="25" t="str">
        <f aca="false">IF(C275="","",INDEX(Firmalar!$C$5:$C$7,MATCH(C275,Firmalar!$A$5:$A$7,0)))</f>
        <v/>
      </c>
      <c r="E275" s="37"/>
      <c r="F275" s="36"/>
      <c r="G275" s="36"/>
      <c r="H275" s="36"/>
      <c r="I275" s="36"/>
      <c r="J275" s="36"/>
      <c r="K275" s="36"/>
      <c r="L275" s="38"/>
      <c r="M275" s="21" t="str">
        <f aca="false">IF(OR(E275="",L275=""),"",E275*L275)</f>
        <v/>
      </c>
      <c r="N275" s="36"/>
    </row>
    <row r="276" customFormat="false" ht="15" hidden="false" customHeight="false" outlineLevel="0" collapsed="false">
      <c r="A276" s="25" t="str">
        <f aca="false">IF(C276="","",ROW()-5)</f>
        <v/>
      </c>
      <c r="B276" s="35"/>
      <c r="C276" s="36"/>
      <c r="D276" s="25" t="str">
        <f aca="false">IF(C276="","",INDEX(Firmalar!$C$5:$C$7,MATCH(C276,Firmalar!$A$5:$A$7,0)))</f>
        <v/>
      </c>
      <c r="E276" s="37"/>
      <c r="F276" s="36"/>
      <c r="G276" s="36"/>
      <c r="H276" s="36"/>
      <c r="I276" s="36"/>
      <c r="J276" s="36"/>
      <c r="K276" s="36"/>
      <c r="L276" s="38"/>
      <c r="M276" s="21" t="str">
        <f aca="false">IF(OR(E276="",L276=""),"",E276*L276)</f>
        <v/>
      </c>
      <c r="N276" s="36"/>
    </row>
    <row r="277" customFormat="false" ht="15" hidden="false" customHeight="false" outlineLevel="0" collapsed="false">
      <c r="A277" s="25" t="str">
        <f aca="false">IF(C277="","",ROW()-5)</f>
        <v/>
      </c>
      <c r="B277" s="35"/>
      <c r="C277" s="36"/>
      <c r="D277" s="25" t="str">
        <f aca="false">IF(C277="","",INDEX(Firmalar!$C$5:$C$7,MATCH(C277,Firmalar!$A$5:$A$7,0)))</f>
        <v/>
      </c>
      <c r="E277" s="37"/>
      <c r="F277" s="36"/>
      <c r="G277" s="36"/>
      <c r="H277" s="36"/>
      <c r="I277" s="36"/>
      <c r="J277" s="36"/>
      <c r="K277" s="36"/>
      <c r="L277" s="38"/>
      <c r="M277" s="21" t="str">
        <f aca="false">IF(OR(E277="",L277=""),"",E277*L277)</f>
        <v/>
      </c>
      <c r="N277" s="36"/>
    </row>
    <row r="278" customFormat="false" ht="15" hidden="false" customHeight="false" outlineLevel="0" collapsed="false">
      <c r="A278" s="25" t="str">
        <f aca="false">IF(C278="","",ROW()-5)</f>
        <v/>
      </c>
      <c r="B278" s="35"/>
      <c r="C278" s="36"/>
      <c r="D278" s="25" t="str">
        <f aca="false">IF(C278="","",INDEX(Firmalar!$C$5:$C$7,MATCH(C278,Firmalar!$A$5:$A$7,0)))</f>
        <v/>
      </c>
      <c r="E278" s="37"/>
      <c r="F278" s="36"/>
      <c r="G278" s="36"/>
      <c r="H278" s="36"/>
      <c r="I278" s="36"/>
      <c r="J278" s="36"/>
      <c r="K278" s="36"/>
      <c r="L278" s="38"/>
      <c r="M278" s="21" t="str">
        <f aca="false">IF(OR(E278="",L278=""),"",E278*L278)</f>
        <v/>
      </c>
      <c r="N278" s="36"/>
    </row>
    <row r="279" customFormat="false" ht="15" hidden="false" customHeight="false" outlineLevel="0" collapsed="false">
      <c r="A279" s="25" t="str">
        <f aca="false">IF(C279="","",ROW()-5)</f>
        <v/>
      </c>
      <c r="B279" s="35"/>
      <c r="C279" s="36"/>
      <c r="D279" s="25" t="str">
        <f aca="false">IF(C279="","",INDEX(Firmalar!$C$5:$C$7,MATCH(C279,Firmalar!$A$5:$A$7,0)))</f>
        <v/>
      </c>
      <c r="E279" s="37"/>
      <c r="F279" s="36"/>
      <c r="G279" s="36"/>
      <c r="H279" s="36"/>
      <c r="I279" s="36"/>
      <c r="J279" s="36"/>
      <c r="K279" s="36"/>
      <c r="L279" s="38"/>
      <c r="M279" s="21" t="str">
        <f aca="false">IF(OR(E279="",L279=""),"",E279*L279)</f>
        <v/>
      </c>
      <c r="N279" s="36"/>
    </row>
    <row r="280" customFormat="false" ht="15" hidden="false" customHeight="false" outlineLevel="0" collapsed="false">
      <c r="A280" s="25" t="str">
        <f aca="false">IF(C280="","",ROW()-5)</f>
        <v/>
      </c>
      <c r="B280" s="35"/>
      <c r="C280" s="36"/>
      <c r="D280" s="25" t="str">
        <f aca="false">IF(C280="","",INDEX(Firmalar!$C$5:$C$7,MATCH(C280,Firmalar!$A$5:$A$7,0)))</f>
        <v/>
      </c>
      <c r="E280" s="37"/>
      <c r="F280" s="36"/>
      <c r="G280" s="36"/>
      <c r="H280" s="36"/>
      <c r="I280" s="36"/>
      <c r="J280" s="36"/>
      <c r="K280" s="36"/>
      <c r="L280" s="38"/>
      <c r="M280" s="21" t="str">
        <f aca="false">IF(OR(E280="",L280=""),"",E280*L280)</f>
        <v/>
      </c>
      <c r="N280" s="36"/>
    </row>
    <row r="281" customFormat="false" ht="15" hidden="false" customHeight="false" outlineLevel="0" collapsed="false">
      <c r="A281" s="25" t="str">
        <f aca="false">IF(C281="","",ROW()-5)</f>
        <v/>
      </c>
      <c r="B281" s="35"/>
      <c r="C281" s="36"/>
      <c r="D281" s="25" t="str">
        <f aca="false">IF(C281="","",INDEX(Firmalar!$C$5:$C$7,MATCH(C281,Firmalar!$A$5:$A$7,0)))</f>
        <v/>
      </c>
      <c r="E281" s="37"/>
      <c r="F281" s="36"/>
      <c r="G281" s="36"/>
      <c r="H281" s="36"/>
      <c r="I281" s="36"/>
      <c r="J281" s="36"/>
      <c r="K281" s="36"/>
      <c r="L281" s="38"/>
      <c r="M281" s="21" t="str">
        <f aca="false">IF(OR(E281="",L281=""),"",E281*L281)</f>
        <v/>
      </c>
      <c r="N281" s="36"/>
    </row>
    <row r="282" customFormat="false" ht="15" hidden="false" customHeight="false" outlineLevel="0" collapsed="false">
      <c r="A282" s="25" t="str">
        <f aca="false">IF(C282="","",ROW()-5)</f>
        <v/>
      </c>
      <c r="B282" s="35"/>
      <c r="C282" s="36"/>
      <c r="D282" s="25" t="str">
        <f aca="false">IF(C282="","",INDEX(Firmalar!$C$5:$C$7,MATCH(C282,Firmalar!$A$5:$A$7,0)))</f>
        <v/>
      </c>
      <c r="E282" s="37"/>
      <c r="F282" s="36"/>
      <c r="G282" s="36"/>
      <c r="H282" s="36"/>
      <c r="I282" s="36"/>
      <c r="J282" s="36"/>
      <c r="K282" s="36"/>
      <c r="L282" s="38"/>
      <c r="M282" s="21" t="str">
        <f aca="false">IF(OR(E282="",L282=""),"",E282*L282)</f>
        <v/>
      </c>
      <c r="N282" s="36"/>
    </row>
    <row r="283" customFormat="false" ht="15" hidden="false" customHeight="false" outlineLevel="0" collapsed="false">
      <c r="A283" s="25" t="str">
        <f aca="false">IF(C283="","",ROW()-5)</f>
        <v/>
      </c>
      <c r="B283" s="35"/>
      <c r="C283" s="36"/>
      <c r="D283" s="25" t="str">
        <f aca="false">IF(C283="","",INDEX(Firmalar!$C$5:$C$7,MATCH(C283,Firmalar!$A$5:$A$7,0)))</f>
        <v/>
      </c>
      <c r="E283" s="37"/>
      <c r="F283" s="36"/>
      <c r="G283" s="36"/>
      <c r="H283" s="36"/>
      <c r="I283" s="36"/>
      <c r="J283" s="36"/>
      <c r="K283" s="36"/>
      <c r="L283" s="38"/>
      <c r="M283" s="21" t="str">
        <f aca="false">IF(OR(E283="",L283=""),"",E283*L283)</f>
        <v/>
      </c>
      <c r="N283" s="36"/>
    </row>
    <row r="284" customFormat="false" ht="15" hidden="false" customHeight="false" outlineLevel="0" collapsed="false">
      <c r="A284" s="25" t="str">
        <f aca="false">IF(C284="","",ROW()-5)</f>
        <v/>
      </c>
      <c r="B284" s="35"/>
      <c r="C284" s="36"/>
      <c r="D284" s="25" t="str">
        <f aca="false">IF(C284="","",INDEX(Firmalar!$C$5:$C$7,MATCH(C284,Firmalar!$A$5:$A$7,0)))</f>
        <v/>
      </c>
      <c r="E284" s="37"/>
      <c r="F284" s="36"/>
      <c r="G284" s="36"/>
      <c r="H284" s="36"/>
      <c r="I284" s="36"/>
      <c r="J284" s="36"/>
      <c r="K284" s="36"/>
      <c r="L284" s="38"/>
      <c r="M284" s="21" t="str">
        <f aca="false">IF(OR(E284="",L284=""),"",E284*L284)</f>
        <v/>
      </c>
      <c r="N284" s="36"/>
    </row>
    <row r="285" customFormat="false" ht="15" hidden="false" customHeight="false" outlineLevel="0" collapsed="false">
      <c r="A285" s="25" t="str">
        <f aca="false">IF(C285="","",ROW()-5)</f>
        <v/>
      </c>
      <c r="B285" s="35"/>
      <c r="C285" s="36"/>
      <c r="D285" s="25" t="str">
        <f aca="false">IF(C285="","",INDEX(Firmalar!$C$5:$C$7,MATCH(C285,Firmalar!$A$5:$A$7,0)))</f>
        <v/>
      </c>
      <c r="E285" s="37"/>
      <c r="F285" s="36"/>
      <c r="G285" s="36"/>
      <c r="H285" s="36"/>
      <c r="I285" s="36"/>
      <c r="J285" s="36"/>
      <c r="K285" s="36"/>
      <c r="L285" s="38"/>
      <c r="M285" s="21" t="str">
        <f aca="false">IF(OR(E285="",L285=""),"",E285*L285)</f>
        <v/>
      </c>
      <c r="N285" s="36"/>
    </row>
    <row r="286" customFormat="false" ht="15" hidden="false" customHeight="false" outlineLevel="0" collapsed="false">
      <c r="A286" s="25" t="str">
        <f aca="false">IF(C286="","",ROW()-5)</f>
        <v/>
      </c>
      <c r="B286" s="35"/>
      <c r="C286" s="36"/>
      <c r="D286" s="25" t="str">
        <f aca="false">IF(C286="","",INDEX(Firmalar!$C$5:$C$7,MATCH(C286,Firmalar!$A$5:$A$7,0)))</f>
        <v/>
      </c>
      <c r="E286" s="37"/>
      <c r="F286" s="36"/>
      <c r="G286" s="36"/>
      <c r="H286" s="36"/>
      <c r="I286" s="36"/>
      <c r="J286" s="36"/>
      <c r="K286" s="36"/>
      <c r="L286" s="38"/>
      <c r="M286" s="21" t="str">
        <f aca="false">IF(OR(E286="",L286=""),"",E286*L286)</f>
        <v/>
      </c>
      <c r="N286" s="36"/>
    </row>
    <row r="287" customFormat="false" ht="15" hidden="false" customHeight="false" outlineLevel="0" collapsed="false">
      <c r="A287" s="25" t="str">
        <f aca="false">IF(C287="","",ROW()-5)</f>
        <v/>
      </c>
      <c r="B287" s="35"/>
      <c r="C287" s="36"/>
      <c r="D287" s="25" t="str">
        <f aca="false">IF(C287="","",INDEX(Firmalar!$C$5:$C$7,MATCH(C287,Firmalar!$A$5:$A$7,0)))</f>
        <v/>
      </c>
      <c r="E287" s="37"/>
      <c r="F287" s="36"/>
      <c r="G287" s="36"/>
      <c r="H287" s="36"/>
      <c r="I287" s="36"/>
      <c r="J287" s="36"/>
      <c r="K287" s="36"/>
      <c r="L287" s="38"/>
      <c r="M287" s="21" t="str">
        <f aca="false">IF(OR(E287="",L287=""),"",E287*L287)</f>
        <v/>
      </c>
      <c r="N287" s="36"/>
    </row>
    <row r="288" customFormat="false" ht="15" hidden="false" customHeight="false" outlineLevel="0" collapsed="false">
      <c r="A288" s="25" t="str">
        <f aca="false">IF(C288="","",ROW()-5)</f>
        <v/>
      </c>
      <c r="B288" s="35"/>
      <c r="C288" s="36"/>
      <c r="D288" s="25" t="str">
        <f aca="false">IF(C288="","",INDEX(Firmalar!$C$5:$C$7,MATCH(C288,Firmalar!$A$5:$A$7,0)))</f>
        <v/>
      </c>
      <c r="E288" s="37"/>
      <c r="F288" s="36"/>
      <c r="G288" s="36"/>
      <c r="H288" s="36"/>
      <c r="I288" s="36"/>
      <c r="J288" s="36"/>
      <c r="K288" s="36"/>
      <c r="L288" s="38"/>
      <c r="M288" s="21" t="str">
        <f aca="false">IF(OR(E288="",L288=""),"",E288*L288)</f>
        <v/>
      </c>
      <c r="N288" s="36"/>
    </row>
    <row r="289" customFormat="false" ht="15" hidden="false" customHeight="false" outlineLevel="0" collapsed="false">
      <c r="A289" s="25" t="str">
        <f aca="false">IF(C289="","",ROW()-5)</f>
        <v/>
      </c>
      <c r="B289" s="35"/>
      <c r="C289" s="36"/>
      <c r="D289" s="25" t="str">
        <f aca="false">IF(C289="","",INDEX(Firmalar!$C$5:$C$7,MATCH(C289,Firmalar!$A$5:$A$7,0)))</f>
        <v/>
      </c>
      <c r="E289" s="37"/>
      <c r="F289" s="36"/>
      <c r="G289" s="36"/>
      <c r="H289" s="36"/>
      <c r="I289" s="36"/>
      <c r="J289" s="36"/>
      <c r="K289" s="36"/>
      <c r="L289" s="38"/>
      <c r="M289" s="21" t="str">
        <f aca="false">IF(OR(E289="",L289=""),"",E289*L289)</f>
        <v/>
      </c>
      <c r="N289" s="36"/>
    </row>
    <row r="290" customFormat="false" ht="15" hidden="false" customHeight="false" outlineLevel="0" collapsed="false">
      <c r="A290" s="25" t="str">
        <f aca="false">IF(C290="","",ROW()-5)</f>
        <v/>
      </c>
      <c r="B290" s="35"/>
      <c r="C290" s="36"/>
      <c r="D290" s="25" t="str">
        <f aca="false">IF(C290="","",INDEX(Firmalar!$C$5:$C$7,MATCH(C290,Firmalar!$A$5:$A$7,0)))</f>
        <v/>
      </c>
      <c r="E290" s="37"/>
      <c r="F290" s="36"/>
      <c r="G290" s="36"/>
      <c r="H290" s="36"/>
      <c r="I290" s="36"/>
      <c r="J290" s="36"/>
      <c r="K290" s="36"/>
      <c r="L290" s="38"/>
      <c r="M290" s="21" t="str">
        <f aca="false">IF(OR(E290="",L290=""),"",E290*L290)</f>
        <v/>
      </c>
      <c r="N290" s="36"/>
    </row>
    <row r="291" customFormat="false" ht="15" hidden="false" customHeight="false" outlineLevel="0" collapsed="false">
      <c r="A291" s="25" t="str">
        <f aca="false">IF(C291="","",ROW()-5)</f>
        <v/>
      </c>
      <c r="B291" s="35"/>
      <c r="C291" s="36"/>
      <c r="D291" s="25" t="str">
        <f aca="false">IF(C291="","",INDEX(Firmalar!$C$5:$C$7,MATCH(C291,Firmalar!$A$5:$A$7,0)))</f>
        <v/>
      </c>
      <c r="E291" s="37"/>
      <c r="F291" s="36"/>
      <c r="G291" s="36"/>
      <c r="H291" s="36"/>
      <c r="I291" s="36"/>
      <c r="J291" s="36"/>
      <c r="K291" s="36"/>
      <c r="L291" s="38"/>
      <c r="M291" s="21" t="str">
        <f aca="false">IF(OR(E291="",L291=""),"",E291*L291)</f>
        <v/>
      </c>
      <c r="N291" s="36"/>
    </row>
    <row r="292" customFormat="false" ht="15" hidden="false" customHeight="false" outlineLevel="0" collapsed="false">
      <c r="A292" s="25" t="str">
        <f aca="false">IF(C292="","",ROW()-5)</f>
        <v/>
      </c>
      <c r="B292" s="35"/>
      <c r="C292" s="36"/>
      <c r="D292" s="25" t="str">
        <f aca="false">IF(C292="","",INDEX(Firmalar!$C$5:$C$7,MATCH(C292,Firmalar!$A$5:$A$7,0)))</f>
        <v/>
      </c>
      <c r="E292" s="37"/>
      <c r="F292" s="36"/>
      <c r="G292" s="36"/>
      <c r="H292" s="36"/>
      <c r="I292" s="36"/>
      <c r="J292" s="36"/>
      <c r="K292" s="36"/>
      <c r="L292" s="38"/>
      <c r="M292" s="21" t="str">
        <f aca="false">IF(OR(E292="",L292=""),"",E292*L292)</f>
        <v/>
      </c>
      <c r="N292" s="36"/>
    </row>
    <row r="293" customFormat="false" ht="15" hidden="false" customHeight="false" outlineLevel="0" collapsed="false">
      <c r="A293" s="25" t="str">
        <f aca="false">IF(C293="","",ROW()-5)</f>
        <v/>
      </c>
      <c r="B293" s="35"/>
      <c r="C293" s="36"/>
      <c r="D293" s="25" t="str">
        <f aca="false">IF(C293="","",INDEX(Firmalar!$C$5:$C$7,MATCH(C293,Firmalar!$A$5:$A$7,0)))</f>
        <v/>
      </c>
      <c r="E293" s="37"/>
      <c r="F293" s="36"/>
      <c r="G293" s="36"/>
      <c r="H293" s="36"/>
      <c r="I293" s="36"/>
      <c r="J293" s="36"/>
      <c r="K293" s="36"/>
      <c r="L293" s="38"/>
      <c r="M293" s="21" t="str">
        <f aca="false">IF(OR(E293="",L293=""),"",E293*L293)</f>
        <v/>
      </c>
      <c r="N293" s="36"/>
    </row>
    <row r="294" customFormat="false" ht="15" hidden="false" customHeight="false" outlineLevel="0" collapsed="false">
      <c r="A294" s="25" t="str">
        <f aca="false">IF(C294="","",ROW()-5)</f>
        <v/>
      </c>
      <c r="B294" s="35"/>
      <c r="C294" s="36"/>
      <c r="D294" s="25" t="str">
        <f aca="false">IF(C294="","",INDEX(Firmalar!$C$5:$C$7,MATCH(C294,Firmalar!$A$5:$A$7,0)))</f>
        <v/>
      </c>
      <c r="E294" s="37"/>
      <c r="F294" s="36"/>
      <c r="G294" s="36"/>
      <c r="H294" s="36"/>
      <c r="I294" s="36"/>
      <c r="J294" s="36"/>
      <c r="K294" s="36"/>
      <c r="L294" s="38"/>
      <c r="M294" s="21" t="str">
        <f aca="false">IF(OR(E294="",L294=""),"",E294*L294)</f>
        <v/>
      </c>
      <c r="N294" s="36"/>
    </row>
    <row r="295" customFormat="false" ht="15" hidden="false" customHeight="false" outlineLevel="0" collapsed="false">
      <c r="A295" s="25" t="str">
        <f aca="false">IF(C295="","",ROW()-5)</f>
        <v/>
      </c>
      <c r="B295" s="35"/>
      <c r="C295" s="36"/>
      <c r="D295" s="25" t="str">
        <f aca="false">IF(C295="","",INDEX(Firmalar!$C$5:$C$7,MATCH(C295,Firmalar!$A$5:$A$7,0)))</f>
        <v/>
      </c>
      <c r="E295" s="37"/>
      <c r="F295" s="36"/>
      <c r="G295" s="36"/>
      <c r="H295" s="36"/>
      <c r="I295" s="36"/>
      <c r="J295" s="36"/>
      <c r="K295" s="36"/>
      <c r="L295" s="38"/>
      <c r="M295" s="21" t="str">
        <f aca="false">IF(OR(E295="",L295=""),"",E295*L295)</f>
        <v/>
      </c>
      <c r="N295" s="36"/>
    </row>
    <row r="296" customFormat="false" ht="15" hidden="false" customHeight="false" outlineLevel="0" collapsed="false">
      <c r="A296" s="25" t="str">
        <f aca="false">IF(C296="","",ROW()-5)</f>
        <v/>
      </c>
      <c r="B296" s="35"/>
      <c r="C296" s="36"/>
      <c r="D296" s="25" t="str">
        <f aca="false">IF(C296="","",INDEX(Firmalar!$C$5:$C$7,MATCH(C296,Firmalar!$A$5:$A$7,0)))</f>
        <v/>
      </c>
      <c r="E296" s="37"/>
      <c r="F296" s="36"/>
      <c r="G296" s="36"/>
      <c r="H296" s="36"/>
      <c r="I296" s="36"/>
      <c r="J296" s="36"/>
      <c r="K296" s="36"/>
      <c r="L296" s="38"/>
      <c r="M296" s="21" t="str">
        <f aca="false">IF(OR(E296="",L296=""),"",E296*L296)</f>
        <v/>
      </c>
      <c r="N296" s="36"/>
    </row>
    <row r="297" customFormat="false" ht="15" hidden="false" customHeight="false" outlineLevel="0" collapsed="false">
      <c r="A297" s="25" t="str">
        <f aca="false">IF(C297="","",ROW()-5)</f>
        <v/>
      </c>
      <c r="B297" s="35"/>
      <c r="C297" s="36"/>
      <c r="D297" s="25" t="str">
        <f aca="false">IF(C297="","",INDEX(Firmalar!$C$5:$C$7,MATCH(C297,Firmalar!$A$5:$A$7,0)))</f>
        <v/>
      </c>
      <c r="E297" s="37"/>
      <c r="F297" s="36"/>
      <c r="G297" s="36"/>
      <c r="H297" s="36"/>
      <c r="I297" s="36"/>
      <c r="J297" s="36"/>
      <c r="K297" s="36"/>
      <c r="L297" s="38"/>
      <c r="M297" s="21" t="str">
        <f aca="false">IF(OR(E297="",L297=""),"",E297*L297)</f>
        <v/>
      </c>
      <c r="N297" s="36"/>
    </row>
    <row r="298" customFormat="false" ht="15" hidden="false" customHeight="false" outlineLevel="0" collapsed="false">
      <c r="A298" s="25" t="str">
        <f aca="false">IF(C298="","",ROW()-5)</f>
        <v/>
      </c>
      <c r="B298" s="35"/>
      <c r="C298" s="36"/>
      <c r="D298" s="25" t="str">
        <f aca="false">IF(C298="","",INDEX(Firmalar!$C$5:$C$7,MATCH(C298,Firmalar!$A$5:$A$7,0)))</f>
        <v/>
      </c>
      <c r="E298" s="37"/>
      <c r="F298" s="36"/>
      <c r="G298" s="36"/>
      <c r="H298" s="36"/>
      <c r="I298" s="36"/>
      <c r="J298" s="36"/>
      <c r="K298" s="36"/>
      <c r="L298" s="38"/>
      <c r="M298" s="21" t="str">
        <f aca="false">IF(OR(E298="",L298=""),"",E298*L298)</f>
        <v/>
      </c>
      <c r="N298" s="36"/>
    </row>
    <row r="299" customFormat="false" ht="15" hidden="false" customHeight="false" outlineLevel="0" collapsed="false">
      <c r="A299" s="25" t="str">
        <f aca="false">IF(C299="","",ROW()-5)</f>
        <v/>
      </c>
      <c r="B299" s="35"/>
      <c r="C299" s="36"/>
      <c r="D299" s="25" t="str">
        <f aca="false">IF(C299="","",INDEX(Firmalar!$C$5:$C$7,MATCH(C299,Firmalar!$A$5:$A$7,0)))</f>
        <v/>
      </c>
      <c r="E299" s="37"/>
      <c r="F299" s="36"/>
      <c r="G299" s="36"/>
      <c r="H299" s="36"/>
      <c r="I299" s="36"/>
      <c r="J299" s="36"/>
      <c r="K299" s="36"/>
      <c r="L299" s="38"/>
      <c r="M299" s="21" t="str">
        <f aca="false">IF(OR(E299="",L299=""),"",E299*L299)</f>
        <v/>
      </c>
      <c r="N299" s="36"/>
    </row>
    <row r="300" customFormat="false" ht="15" hidden="false" customHeight="false" outlineLevel="0" collapsed="false">
      <c r="A300" s="25" t="str">
        <f aca="false">IF(C300="","",ROW()-5)</f>
        <v/>
      </c>
      <c r="B300" s="35"/>
      <c r="C300" s="36"/>
      <c r="D300" s="25" t="str">
        <f aca="false">IF(C300="","",INDEX(Firmalar!$C$5:$C$7,MATCH(C300,Firmalar!$A$5:$A$7,0)))</f>
        <v/>
      </c>
      <c r="E300" s="37"/>
      <c r="F300" s="36"/>
      <c r="G300" s="36"/>
      <c r="H300" s="36"/>
      <c r="I300" s="36"/>
      <c r="J300" s="36"/>
      <c r="K300" s="36"/>
      <c r="L300" s="38"/>
      <c r="M300" s="21" t="str">
        <f aca="false">IF(OR(E300="",L300=""),"",E300*L300)</f>
        <v/>
      </c>
      <c r="N300" s="36"/>
    </row>
    <row r="301" customFormat="false" ht="15" hidden="false" customHeight="false" outlineLevel="0" collapsed="false">
      <c r="A301" s="25" t="str">
        <f aca="false">IF(C301="","",ROW()-5)</f>
        <v/>
      </c>
      <c r="B301" s="35"/>
      <c r="C301" s="36"/>
      <c r="D301" s="25" t="str">
        <f aca="false">IF(C301="","",INDEX(Firmalar!$C$5:$C$7,MATCH(C301,Firmalar!$A$5:$A$7,0)))</f>
        <v/>
      </c>
      <c r="E301" s="37"/>
      <c r="F301" s="36"/>
      <c r="G301" s="36"/>
      <c r="H301" s="36"/>
      <c r="I301" s="36"/>
      <c r="J301" s="36"/>
      <c r="K301" s="36"/>
      <c r="L301" s="38"/>
      <c r="M301" s="21" t="str">
        <f aca="false">IF(OR(E301="",L301=""),"",E301*L301)</f>
        <v/>
      </c>
      <c r="N301" s="36"/>
    </row>
    <row r="302" customFormat="false" ht="15" hidden="false" customHeight="false" outlineLevel="0" collapsed="false">
      <c r="A302" s="25" t="str">
        <f aca="false">IF(C302="","",ROW()-5)</f>
        <v/>
      </c>
      <c r="B302" s="35"/>
      <c r="C302" s="36"/>
      <c r="D302" s="25" t="str">
        <f aca="false">IF(C302="","",INDEX(Firmalar!$C$5:$C$7,MATCH(C302,Firmalar!$A$5:$A$7,0)))</f>
        <v/>
      </c>
      <c r="E302" s="37"/>
      <c r="F302" s="36"/>
      <c r="G302" s="36"/>
      <c r="H302" s="36"/>
      <c r="I302" s="36"/>
      <c r="J302" s="36"/>
      <c r="K302" s="36"/>
      <c r="L302" s="38"/>
      <c r="M302" s="21" t="str">
        <f aca="false">IF(OR(E302="",L302=""),"",E302*L302)</f>
        <v/>
      </c>
      <c r="N302" s="36"/>
    </row>
    <row r="303" customFormat="false" ht="15" hidden="false" customHeight="false" outlineLevel="0" collapsed="false">
      <c r="A303" s="25" t="str">
        <f aca="false">IF(C303="","",ROW()-5)</f>
        <v/>
      </c>
      <c r="B303" s="35"/>
      <c r="C303" s="36"/>
      <c r="D303" s="25" t="str">
        <f aca="false">IF(C303="","",INDEX(Firmalar!$C$5:$C$7,MATCH(C303,Firmalar!$A$5:$A$7,0)))</f>
        <v/>
      </c>
      <c r="E303" s="37"/>
      <c r="F303" s="36"/>
      <c r="G303" s="36"/>
      <c r="H303" s="36"/>
      <c r="I303" s="36"/>
      <c r="J303" s="36"/>
      <c r="K303" s="36"/>
      <c r="L303" s="38"/>
      <c r="M303" s="21" t="str">
        <f aca="false">IF(OR(E303="",L303=""),"",E303*L303)</f>
        <v/>
      </c>
      <c r="N303" s="36"/>
    </row>
    <row r="304" customFormat="false" ht="15" hidden="false" customHeight="false" outlineLevel="0" collapsed="false">
      <c r="A304" s="25" t="str">
        <f aca="false">IF(C304="","",ROW()-5)</f>
        <v/>
      </c>
      <c r="B304" s="35"/>
      <c r="C304" s="36"/>
      <c r="D304" s="25" t="str">
        <f aca="false">IF(C304="","",INDEX(Firmalar!$C$5:$C$7,MATCH(C304,Firmalar!$A$5:$A$7,0)))</f>
        <v/>
      </c>
      <c r="E304" s="37"/>
      <c r="F304" s="36"/>
      <c r="G304" s="36"/>
      <c r="H304" s="36"/>
      <c r="I304" s="36"/>
      <c r="J304" s="36"/>
      <c r="K304" s="36"/>
      <c r="L304" s="38"/>
      <c r="M304" s="21" t="str">
        <f aca="false">IF(OR(E304="",L304=""),"",E304*L304)</f>
        <v/>
      </c>
      <c r="N304" s="36"/>
    </row>
    <row r="305" customFormat="false" ht="15" hidden="false" customHeight="false" outlineLevel="0" collapsed="false">
      <c r="A305" s="25" t="str">
        <f aca="false">IF(C305="","",ROW()-5)</f>
        <v/>
      </c>
      <c r="B305" s="35"/>
      <c r="C305" s="36"/>
      <c r="D305" s="25" t="str">
        <f aca="false">IF(C305="","",INDEX(Firmalar!$C$5:$C$7,MATCH(C305,Firmalar!$A$5:$A$7,0)))</f>
        <v/>
      </c>
      <c r="E305" s="37"/>
      <c r="F305" s="36"/>
      <c r="G305" s="36"/>
      <c r="H305" s="36"/>
      <c r="I305" s="36"/>
      <c r="J305" s="36"/>
      <c r="K305" s="36"/>
      <c r="L305" s="38"/>
      <c r="M305" s="21" t="str">
        <f aca="false">IF(OR(E305="",L305=""),"",E305*L305)</f>
        <v/>
      </c>
      <c r="N305" s="36"/>
    </row>
  </sheetData>
  <autoFilter ref="A5:N305"/>
  <conditionalFormatting sqref="K6:K305">
    <cfRule type="cellIs" priority="2" operator="equal" aboveAverage="0" equalAverage="0" bottom="0" percent="0" rank="0" text="" dxfId="7">
      <formula>"Hayır"</formula>
    </cfRule>
  </conditionalFormatting>
  <conditionalFormatting sqref="J6:J305">
    <cfRule type="expression" priority="3" aboveAverage="0" equalAverage="0" bottom="0" percent="0" rank="0" text="" dxfId="1">
      <formula>AND($C6&lt;&gt;"",$J6="")</formula>
    </cfRule>
  </conditionalFormatting>
  <dataValidations count="4">
    <dataValidation allowBlank="true" errorStyle="stop" operator="between" showDropDown="false" showErrorMessage="false" showInputMessage="false" sqref="C6:C305" type="list">
      <formula1>Firmalar!$A$5:$A$7</formula1>
      <formula2>0</formula2>
    </dataValidation>
    <dataValidation allowBlank="true" errorStyle="stop" operator="between" showDropDown="false" showErrorMessage="false" showInputMessage="false" sqref="F6:F305" type="list">
      <formula1>"Elden nakit,Banka havalesi/EFT,Çek,Diğer"</formula1>
      <formula2>0</formula2>
    </dataValidation>
    <dataValidation allowBlank="true" errorStyle="stop" operator="between" showDropDown="false" showErrorMessage="false" showInputMessage="false" sqref="K6:K305" type="list">
      <formula1>"Evet,Hayır"</formula1>
      <formula2>0</formula2>
    </dataValidation>
    <dataValidation allowBlank="true" error="Geçerli bir tarih girin (GG.AA.YYYY)" errorStyle="stop" operator="greaterThan" showDropDown="false" showErrorMessage="false" showInputMessage="false" sqref="B6:B305" type="date">
      <formula1>44927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2026-10-26T08:28:24Z</dcterms:created>
  <dc:creator>openpyxl</dc:creator>
  <dc:description/>
  <dc:language>en-US</dc:language>
  <cp:lastModifiedBy/>
  <dcterms:modified xsi:type="dcterms:W3CDTF">2026-10-26T08:28:24Z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